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worksheets/sheet13.xml" ContentType="application/vnd.openxmlformats-officedocument.spreadsheetml.worksheet+xml"/>
  <Override PartName="/xl/worksheets/sheet11.xml" ContentType="application/vnd.openxmlformats-officedocument.spreadsheetml.worksheet+xml"/>
  <Override PartName="/xl/worksheets/sheet5.xml" ContentType="application/vnd.openxmlformats-officedocument.spreadsheetml.worksheet+xml"/>
  <Override PartName="/xl/worksheets/sheet12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User\Desktop\Arquivos_Gerais\Caderno Exercícios Dashboard 2019\Caderno_Exercícios\"/>
    </mc:Choice>
  </mc:AlternateContent>
  <xr:revisionPtr revIDLastSave="0" documentId="13_ncr:1_{9A669A8C-D484-438B-A286-A8CCDE8CA8B5}" xr6:coauthVersionLast="36" xr6:coauthVersionMax="36" xr10:uidLastSave="{00000000-0000-0000-0000-000000000000}"/>
  <bookViews>
    <workbookView xWindow="0" yWindow="0" windowWidth="20490" windowHeight="7755" tabRatio="939" firstSheet="2" activeTab="2" xr2:uid="{00000000-000D-0000-FFFF-FFFF00000000}"/>
  </bookViews>
  <sheets>
    <sheet name="Média" sheetId="26" state="hidden" r:id="rId1"/>
    <sheet name="Reajuste" sheetId="27" state="hidden" r:id="rId2"/>
    <sheet name="Nome Lista" sheetId="10" r:id="rId3"/>
    <sheet name="Validação" sheetId="18" r:id="rId4"/>
    <sheet name="Rept" sheetId="2" r:id="rId5"/>
    <sheet name="SE" sheetId="7" r:id="rId6"/>
    <sheet name="SE_Controle" sheetId="20" r:id="rId7"/>
    <sheet name="SomaSE" sheetId="15" r:id="rId8"/>
    <sheet name="SomaSES" sheetId="24" r:id="rId9"/>
    <sheet name="SEERRO" sheetId="11" r:id="rId10"/>
    <sheet name="Procv" sheetId="9" r:id="rId11"/>
    <sheet name="Proch" sheetId="12" r:id="rId12"/>
    <sheet name="Corresp" sheetId="16" r:id="rId13"/>
    <sheet name="Indice" sheetId="17" r:id="rId14"/>
    <sheet name="Indice 1" sheetId="23" r:id="rId15"/>
    <sheet name="Escolher" sheetId="25" r:id="rId16"/>
    <sheet name="MédiaSE" sheetId="28" r:id="rId17"/>
    <sheet name="MédiaSES" sheetId="29" r:id="rId18"/>
    <sheet name="Dados_Tab_Dinâmica" sheetId="30" r:id="rId19"/>
  </sheets>
  <externalReferences>
    <externalReference r:id="rId20"/>
  </externalReferences>
  <definedNames>
    <definedName name="_xlnm._FilterDatabase" localSheetId="18" hidden="1">Dados_Tab_Dinâmica!$A$1:$F$10</definedName>
    <definedName name="_xlnm._FilterDatabase" localSheetId="17" hidden="1">MédiaSES!$A$3:$F$12</definedName>
    <definedName name="_xlnm._FilterDatabase" localSheetId="8" hidden="1">SomaSES!$A$3:$F$12</definedName>
    <definedName name="prod">[1]Procv!$A$2:$A$5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35" i="30" l="1"/>
  <c r="F34" i="30"/>
  <c r="F33" i="30"/>
  <c r="F32" i="30"/>
  <c r="F31" i="30"/>
  <c r="F30" i="30"/>
  <c r="F29" i="30"/>
  <c r="F28" i="30"/>
  <c r="F27" i="30"/>
  <c r="F26" i="30"/>
  <c r="F25" i="30"/>
  <c r="F24" i="30"/>
  <c r="F23" i="30"/>
  <c r="F22" i="30"/>
  <c r="F21" i="30"/>
  <c r="F20" i="30"/>
  <c r="F19" i="30"/>
  <c r="F18" i="30"/>
  <c r="F17" i="30"/>
  <c r="F16" i="30"/>
  <c r="F15" i="30"/>
  <c r="F14" i="30"/>
  <c r="F13" i="30"/>
  <c r="F12" i="30"/>
  <c r="F11" i="30"/>
  <c r="F10" i="30"/>
  <c r="F9" i="30"/>
  <c r="F8" i="30"/>
  <c r="F7" i="30"/>
  <c r="F6" i="30"/>
  <c r="F5" i="30"/>
  <c r="F4" i="30"/>
  <c r="F3" i="30"/>
  <c r="F2" i="30"/>
  <c r="F12" i="29" l="1"/>
  <c r="F11" i="29"/>
  <c r="F10" i="29"/>
  <c r="F9" i="29"/>
  <c r="F8" i="29"/>
  <c r="F7" i="29"/>
  <c r="F6" i="29"/>
  <c r="F5" i="29"/>
  <c r="F4" i="29"/>
  <c r="F12" i="24" l="1"/>
  <c r="F11" i="24"/>
  <c r="F10" i="24"/>
  <c r="F9" i="24"/>
  <c r="F8" i="24"/>
  <c r="F7" i="24"/>
  <c r="F6" i="24"/>
  <c r="F5" i="24"/>
  <c r="F4" i="24"/>
  <c r="D4" i="2" l="1"/>
  <c r="D5" i="2"/>
  <c r="D6" i="2"/>
  <c r="D7" i="2"/>
  <c r="D8" i="2"/>
  <c r="D9" i="2"/>
  <c r="D10" i="2"/>
  <c r="E6" i="23" l="1"/>
  <c r="E5" i="23"/>
  <c r="E4" i="23"/>
  <c r="E3" i="23"/>
  <c r="E6" i="17" l="1"/>
  <c r="E5" i="17"/>
  <c r="E4" i="17"/>
  <c r="E3" i="17"/>
  <c r="E12" i="15" l="1"/>
  <c r="E11" i="15"/>
  <c r="E10" i="15"/>
  <c r="E9" i="15"/>
  <c r="E8" i="15"/>
  <c r="E7" i="15"/>
  <c r="E6" i="15"/>
  <c r="E5" i="15"/>
  <c r="E4" i="15"/>
  <c r="D8" i="7"/>
  <c r="D9" i="7"/>
  <c r="D10" i="7"/>
  <c r="D11" i="7"/>
  <c r="D12" i="7"/>
  <c r="D13" i="7"/>
  <c r="D7" i="7"/>
  <c r="D6" i="7"/>
  <c r="D5" i="7"/>
  <c r="D4" i="7"/>
</calcChain>
</file>

<file path=xl/sharedStrings.xml><?xml version="1.0" encoding="utf-8"?>
<sst xmlns="http://schemas.openxmlformats.org/spreadsheetml/2006/main" count="468" uniqueCount="59">
  <si>
    <t>Produtos eletrônicos</t>
  </si>
  <si>
    <t>Quantidade</t>
  </si>
  <si>
    <t>TV</t>
  </si>
  <si>
    <t>Celular</t>
  </si>
  <si>
    <t>Tablet</t>
  </si>
  <si>
    <t>iPad</t>
  </si>
  <si>
    <t>Preços</t>
  </si>
  <si>
    <t>Valor Total</t>
  </si>
  <si>
    <t>Resultado Condicional</t>
  </si>
  <si>
    <t>J</t>
  </si>
  <si>
    <t>K</t>
  </si>
  <si>
    <t>L</t>
  </si>
  <si>
    <t>Tela</t>
  </si>
  <si>
    <t>50 Pol</t>
  </si>
  <si>
    <t>10 Pol</t>
  </si>
  <si>
    <t>12 Pol</t>
  </si>
  <si>
    <t>Preço Unitário</t>
  </si>
  <si>
    <t>Parcelas</t>
  </si>
  <si>
    <t>Valor Total por produto</t>
  </si>
  <si>
    <t>Total Geral</t>
  </si>
  <si>
    <t>Cadastro de Produtos</t>
  </si>
  <si>
    <t>Resultados condicionais</t>
  </si>
  <si>
    <t>Pesquisa por produto</t>
  </si>
  <si>
    <t>Fatura por produto</t>
  </si>
  <si>
    <t xml:space="preserve">Procura por Produto </t>
  </si>
  <si>
    <t>Valor Reajustado</t>
  </si>
  <si>
    <t>Ótimo</t>
  </si>
  <si>
    <t>Bom</t>
  </si>
  <si>
    <t>Resultado (texto)</t>
  </si>
  <si>
    <t>Resultado</t>
  </si>
  <si>
    <t>Valor</t>
  </si>
  <si>
    <t>Resultado (fórmula)</t>
  </si>
  <si>
    <t>Resultado (símbolo)</t>
  </si>
  <si>
    <t>Produtos</t>
  </si>
  <si>
    <t>Posição produto</t>
  </si>
  <si>
    <t>Usando Validação</t>
  </si>
  <si>
    <t>Valor por parcela</t>
  </si>
  <si>
    <t>Posição do produto</t>
  </si>
  <si>
    <t>Linha</t>
  </si>
  <si>
    <t>Coluna</t>
  </si>
  <si>
    <t>Índice</t>
  </si>
  <si>
    <t>Posição da Linha</t>
  </si>
  <si>
    <t>Vendedor</t>
  </si>
  <si>
    <t>Total -  Produto/Vendedor</t>
  </si>
  <si>
    <t>Joaquim</t>
  </si>
  <si>
    <t>Sebastião</t>
  </si>
  <si>
    <t>Francisco</t>
  </si>
  <si>
    <t>Maria</t>
  </si>
  <si>
    <t>Qtd</t>
  </si>
  <si>
    <t>Posição</t>
  </si>
  <si>
    <t>Produto Lista</t>
  </si>
  <si>
    <t>Média de Valores</t>
  </si>
  <si>
    <t>Reajuste</t>
  </si>
  <si>
    <t>Valor com Reajuste</t>
  </si>
  <si>
    <t>MédiaSE</t>
  </si>
  <si>
    <t>%</t>
  </si>
  <si>
    <t>Total -  Produto - Vendedor</t>
  </si>
  <si>
    <t>QTD Total por Produto</t>
  </si>
  <si>
    <t>Produtos Eletrônicos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</si>
</sst>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-&quot;R$&quot;\ * #,##0.00_-;\-&quot;R$&quot;\ * #,##0.00_-;_-&quot;R$&quot;\ * &quot;-&quot;??_-;_-@_-"/>
    <numFmt numFmtId="165" formatCode="_-* #,##0_-;\-* #,##0_-;_-* &quot;-&quot;??_-;_-@_-"/>
    <numFmt numFmtId="166" formatCode="0.0%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Wingdings"/>
      <charset val="2"/>
    </font>
    <font>
      <b/>
      <sz val="14"/>
      <color theme="1"/>
      <name val="Wingdings"/>
      <charset val="2"/>
    </font>
    <font>
      <b/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73">
    <xf numFmtId="0" fontId="0" fillId="0" borderId="0" xfId="0"/>
    <xf numFmtId="164" fontId="0" fillId="0" borderId="0" xfId="2" applyFont="1"/>
    <xf numFmtId="0" fontId="2" fillId="0" borderId="1" xfId="0" applyFont="1" applyBorder="1"/>
    <xf numFmtId="164" fontId="2" fillId="0" borderId="1" xfId="2" applyFont="1" applyBorder="1"/>
    <xf numFmtId="0" fontId="0" fillId="0" borderId="1" xfId="0" applyBorder="1"/>
    <xf numFmtId="164" fontId="0" fillId="0" borderId="1" xfId="2" applyFont="1" applyBorder="1"/>
    <xf numFmtId="165" fontId="0" fillId="0" borderId="1" xfId="1" applyNumberFormat="1" applyFont="1" applyBorder="1"/>
    <xf numFmtId="164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164" fontId="2" fillId="0" borderId="1" xfId="2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0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1" xfId="0" applyFont="1" applyBorder="1"/>
    <xf numFmtId="164" fontId="3" fillId="0" borderId="1" xfId="2" applyFont="1" applyBorder="1"/>
    <xf numFmtId="0" fontId="4" fillId="0" borderId="1" xfId="0" applyFont="1" applyBorder="1" applyAlignment="1">
      <alignment horizontal="center" vertical="center" wrapText="1"/>
    </xf>
    <xf numFmtId="164" fontId="4" fillId="0" borderId="1" xfId="2" applyFont="1" applyBorder="1" applyAlignment="1">
      <alignment horizontal="center" vertical="center" wrapText="1"/>
    </xf>
    <xf numFmtId="0" fontId="6" fillId="0" borderId="0" xfId="0" applyFont="1"/>
    <xf numFmtId="0" fontId="3" fillId="0" borderId="1" xfId="0" applyFont="1" applyBorder="1" applyAlignment="1">
      <alignment horizontal="center" vertical="center" wrapText="1"/>
    </xf>
    <xf numFmtId="164" fontId="3" fillId="0" borderId="1" xfId="2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5" fillId="0" borderId="1" xfId="0" applyFont="1" applyBorder="1"/>
    <xf numFmtId="0" fontId="0" fillId="0" borderId="0" xfId="0" applyAlignment="1">
      <alignment horizontal="center" vertical="center"/>
    </xf>
    <xf numFmtId="165" fontId="0" fillId="0" borderId="0" xfId="0" applyNumberFormat="1"/>
    <xf numFmtId="0" fontId="2" fillId="0" borderId="1" xfId="0" applyFont="1" applyBorder="1" applyAlignment="1">
      <alignment horizontal="center"/>
    </xf>
    <xf numFmtId="9" fontId="2" fillId="0" borderId="1" xfId="2" applyNumberFormat="1" applyFont="1" applyBorder="1"/>
    <xf numFmtId="166" fontId="2" fillId="0" borderId="1" xfId="2" applyNumberFormat="1" applyFont="1" applyBorder="1"/>
    <xf numFmtId="0" fontId="8" fillId="0" borderId="1" xfId="0" applyFont="1" applyBorder="1" applyAlignment="1">
      <alignment horizontal="center"/>
    </xf>
    <xf numFmtId="164" fontId="9" fillId="0" borderId="1" xfId="2" applyFont="1" applyBorder="1"/>
    <xf numFmtId="164" fontId="5" fillId="0" borderId="1" xfId="2" applyFont="1" applyBorder="1"/>
    <xf numFmtId="0" fontId="6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64" fontId="2" fillId="0" borderId="1" xfId="2" applyFont="1" applyBorder="1" applyAlignment="1">
      <alignment horizontal="center" vertical="center"/>
    </xf>
    <xf numFmtId="164" fontId="0" fillId="0" borderId="0" xfId="2" applyFont="1" applyAlignment="1">
      <alignment horizontal="center" vertical="center"/>
    </xf>
    <xf numFmtId="43" fontId="0" fillId="0" borderId="1" xfId="1" applyFont="1" applyBorder="1"/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164" fontId="2" fillId="0" borderId="6" xfId="2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0" fillId="0" borderId="8" xfId="0" applyBorder="1"/>
    <xf numFmtId="0" fontId="0" fillId="0" borderId="9" xfId="0" applyBorder="1"/>
    <xf numFmtId="164" fontId="0" fillId="0" borderId="9" xfId="2" applyFont="1" applyBorder="1"/>
    <xf numFmtId="164" fontId="0" fillId="0" borderId="10" xfId="2" applyFont="1" applyBorder="1"/>
    <xf numFmtId="0" fontId="0" fillId="0" borderId="1" xfId="0" applyBorder="1" applyAlignment="1">
      <alignment horizontal="center"/>
    </xf>
    <xf numFmtId="0" fontId="0" fillId="0" borderId="1" xfId="0" applyFill="1" applyBorder="1"/>
    <xf numFmtId="0" fontId="2" fillId="0" borderId="1" xfId="0" applyFont="1" applyFill="1" applyBorder="1"/>
    <xf numFmtId="10" fontId="0" fillId="0" borderId="1" xfId="0" applyNumberFormat="1" applyBorder="1"/>
    <xf numFmtId="0" fontId="0" fillId="0" borderId="0" xfId="0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0" fillId="0" borderId="1" xfId="0" applyFont="1" applyBorder="1"/>
    <xf numFmtId="0" fontId="2" fillId="3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0" fillId="0" borderId="11" xfId="0" applyBorder="1"/>
    <xf numFmtId="164" fontId="0" fillId="0" borderId="11" xfId="2" applyFont="1" applyBorder="1"/>
    <xf numFmtId="165" fontId="0" fillId="0" borderId="11" xfId="1" applyNumberFormat="1" applyFont="1" applyBorder="1"/>
    <xf numFmtId="0" fontId="6" fillId="0" borderId="0" xfId="0" applyFont="1" applyBorder="1" applyAlignment="1">
      <alignment horizontal="center" vertical="center"/>
    </xf>
    <xf numFmtId="0" fontId="11" fillId="2" borderId="1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</cellXfs>
  <cellStyles count="3">
    <cellStyle name="Moeda" xfId="2" builtinId="4"/>
    <cellStyle name="Normal" xfId="0" builtinId="0"/>
    <cellStyle name="Vírgula" xfId="1" builtinId="3"/>
  </cellStyles>
  <dxfs count="7">
    <dxf>
      <font>
        <b/>
        <i val="0"/>
        <color rgb="FF00B050"/>
      </font>
    </dxf>
    <dxf>
      <font>
        <b/>
        <i val="0"/>
        <color rgb="FF0070C0"/>
      </font>
    </dxf>
    <dxf>
      <font>
        <color rgb="FFFF0000"/>
      </font>
    </dxf>
    <dxf>
      <font>
        <color rgb="FF0070C0"/>
      </font>
    </dxf>
    <dxf>
      <font>
        <color theme="5"/>
      </font>
    </dxf>
    <dxf>
      <font>
        <color rgb="FF0070C0"/>
      </font>
    </dxf>
    <dxf>
      <font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ria.cferreira/Desktop/Caderno%20Exerc&#237;cios%20Dashboard%202019/Cap&#237;tulos/Cap&#237;tulo_2/Produtos%20Eletr&#244;nicos%20Cap&#237;tulo%202_Resolvid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me Lista"/>
      <sheetName val="Validação"/>
      <sheetName val="Rept"/>
      <sheetName val="SE"/>
      <sheetName val="SE_Controle"/>
      <sheetName val="SomaSE"/>
      <sheetName val="SomaSES"/>
      <sheetName val="SEERRO"/>
      <sheetName val="Procv"/>
      <sheetName val="Proch"/>
      <sheetName val="Corresp"/>
      <sheetName val="Indice"/>
      <sheetName val="Indice 1"/>
      <sheetName val="Escolher"/>
      <sheetName val="MédiaSE"/>
      <sheetName val="MédiaS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">
          <cell r="A2" t="str">
            <v>Celular</v>
          </cell>
        </row>
        <row r="3">
          <cell r="A3" t="str">
            <v>iPad</v>
          </cell>
        </row>
        <row r="4">
          <cell r="A4" t="str">
            <v>Tablet</v>
          </cell>
        </row>
        <row r="5">
          <cell r="A5" t="str">
            <v>TV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8"/>
  <dimension ref="A1:D8"/>
  <sheetViews>
    <sheetView zoomScale="170" zoomScaleNormal="170" workbookViewId="0">
      <selection activeCell="A15" sqref="A15"/>
    </sheetView>
  </sheetViews>
  <sheetFormatPr defaultRowHeight="15" x14ac:dyDescent="0.25"/>
  <cols>
    <col min="1" max="1" width="19.7109375" bestFit="1" customWidth="1"/>
    <col min="2" max="2" width="6.28515625" bestFit="1" customWidth="1"/>
    <col min="3" max="3" width="15.28515625" bestFit="1" customWidth="1"/>
    <col min="4" max="4" width="12.85546875" style="1" customWidth="1"/>
  </cols>
  <sheetData>
    <row r="1" spans="1:3" ht="21" x14ac:dyDescent="0.35">
      <c r="A1" s="59" t="s">
        <v>20</v>
      </c>
      <c r="B1" s="59"/>
      <c r="C1" s="59"/>
    </row>
    <row r="2" spans="1:3" x14ac:dyDescent="0.25">
      <c r="A2" s="60"/>
      <c r="B2" s="61"/>
      <c r="C2" s="61"/>
    </row>
    <row r="3" spans="1:3" x14ac:dyDescent="0.25">
      <c r="A3" s="2" t="s">
        <v>0</v>
      </c>
      <c r="B3" s="2" t="s">
        <v>12</v>
      </c>
      <c r="C3" s="3" t="s">
        <v>16</v>
      </c>
    </row>
    <row r="4" spans="1:3" x14ac:dyDescent="0.25">
      <c r="A4" s="4" t="s">
        <v>3</v>
      </c>
      <c r="B4" s="4" t="s">
        <v>14</v>
      </c>
      <c r="C4" s="5">
        <v>2200</v>
      </c>
    </row>
    <row r="5" spans="1:3" x14ac:dyDescent="0.25">
      <c r="A5" s="4" t="s">
        <v>5</v>
      </c>
      <c r="B5" s="4" t="s">
        <v>14</v>
      </c>
      <c r="C5" s="5">
        <v>900</v>
      </c>
    </row>
    <row r="6" spans="1:3" x14ac:dyDescent="0.25">
      <c r="A6" s="4" t="s">
        <v>4</v>
      </c>
      <c r="B6" s="4" t="s">
        <v>15</v>
      </c>
      <c r="C6" s="5">
        <v>1400</v>
      </c>
    </row>
    <row r="7" spans="1:3" x14ac:dyDescent="0.25">
      <c r="A7" s="4" t="s">
        <v>2</v>
      </c>
      <c r="B7" s="4" t="s">
        <v>13</v>
      </c>
      <c r="C7" s="5">
        <v>1200</v>
      </c>
    </row>
    <row r="8" spans="1:3" x14ac:dyDescent="0.25">
      <c r="A8" s="45" t="s">
        <v>51</v>
      </c>
      <c r="B8" s="4"/>
      <c r="C8" s="4"/>
    </row>
  </sheetData>
  <mergeCells count="2">
    <mergeCell ref="A1:C1"/>
    <mergeCell ref="A2:C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6"/>
  <dimension ref="A1:D9"/>
  <sheetViews>
    <sheetView zoomScale="170" zoomScaleNormal="170" workbookViewId="0">
      <selection activeCell="A15" sqref="A15"/>
    </sheetView>
  </sheetViews>
  <sheetFormatPr defaultRowHeight="15" x14ac:dyDescent="0.25"/>
  <cols>
    <col min="1" max="1" width="19.7109375" bestFit="1" customWidth="1"/>
    <col min="2" max="2" width="6.28515625" bestFit="1" customWidth="1"/>
    <col min="3" max="3" width="15.28515625" bestFit="1" customWidth="1"/>
    <col min="4" max="4" width="19.7109375" style="1" bestFit="1" customWidth="1"/>
  </cols>
  <sheetData>
    <row r="1" spans="1:4" ht="21" x14ac:dyDescent="0.35">
      <c r="A1" s="59" t="s">
        <v>20</v>
      </c>
      <c r="B1" s="59"/>
      <c r="C1" s="59"/>
      <c r="D1" s="59"/>
    </row>
    <row r="2" spans="1:4" x14ac:dyDescent="0.25">
      <c r="A2" s="62"/>
      <c r="B2" s="62"/>
      <c r="C2" s="62"/>
      <c r="D2" s="62"/>
    </row>
    <row r="3" spans="1:4" x14ac:dyDescent="0.25">
      <c r="A3" s="2" t="s">
        <v>0</v>
      </c>
      <c r="B3" s="2" t="s">
        <v>12</v>
      </c>
      <c r="C3" s="3" t="s">
        <v>16</v>
      </c>
      <c r="D3" s="3" t="s">
        <v>53</v>
      </c>
    </row>
    <row r="4" spans="1:4" x14ac:dyDescent="0.25">
      <c r="A4" s="4" t="s">
        <v>3</v>
      </c>
      <c r="B4" s="4" t="s">
        <v>14</v>
      </c>
      <c r="C4" s="5">
        <v>2200</v>
      </c>
      <c r="D4" s="5"/>
    </row>
    <row r="5" spans="1:4" x14ac:dyDescent="0.25">
      <c r="A5" s="4" t="s">
        <v>5</v>
      </c>
      <c r="B5" s="4" t="s">
        <v>14</v>
      </c>
      <c r="C5" s="5">
        <v>900</v>
      </c>
      <c r="D5" s="5"/>
    </row>
    <row r="6" spans="1:4" x14ac:dyDescent="0.25">
      <c r="A6" s="4" t="s">
        <v>4</v>
      </c>
      <c r="B6" s="4" t="s">
        <v>15</v>
      </c>
      <c r="C6" s="5">
        <v>1400</v>
      </c>
      <c r="D6" s="5"/>
    </row>
    <row r="7" spans="1:4" x14ac:dyDescent="0.25">
      <c r="A7" s="4" t="s">
        <v>2</v>
      </c>
      <c r="B7" s="4" t="s">
        <v>13</v>
      </c>
      <c r="C7" s="5">
        <v>1200</v>
      </c>
      <c r="D7" s="5"/>
    </row>
    <row r="8" spans="1:4" x14ac:dyDescent="0.25">
      <c r="A8" s="45" t="s">
        <v>52</v>
      </c>
      <c r="B8" s="47"/>
      <c r="C8" s="47"/>
    </row>
    <row r="9" spans="1:4" x14ac:dyDescent="0.25">
      <c r="A9" s="46">
        <v>0.105</v>
      </c>
    </row>
  </sheetData>
  <mergeCells count="2">
    <mergeCell ref="A1:D1"/>
    <mergeCell ref="A2:D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"/>
  <dimension ref="A1:D7"/>
  <sheetViews>
    <sheetView tabSelected="1" zoomScale="130" zoomScaleNormal="130" workbookViewId="0">
      <selection activeCell="C12" sqref="C12"/>
    </sheetView>
  </sheetViews>
  <sheetFormatPr defaultRowHeight="15" x14ac:dyDescent="0.25"/>
  <cols>
    <col min="1" max="1" width="19.7109375" bestFit="1" customWidth="1"/>
    <col min="2" max="2" width="6.28515625" bestFit="1" customWidth="1"/>
    <col min="3" max="3" width="15.28515625" bestFit="1" customWidth="1"/>
    <col min="4" max="4" width="12.85546875" style="1" customWidth="1"/>
  </cols>
  <sheetData>
    <row r="1" spans="1:3" ht="21" x14ac:dyDescent="0.35">
      <c r="A1" s="59" t="s">
        <v>20</v>
      </c>
      <c r="B1" s="59"/>
      <c r="C1" s="59"/>
    </row>
    <row r="2" spans="1:3" x14ac:dyDescent="0.25">
      <c r="A2" s="60"/>
      <c r="B2" s="61"/>
      <c r="C2" s="61"/>
    </row>
    <row r="3" spans="1:3" x14ac:dyDescent="0.25">
      <c r="A3" s="2" t="s">
        <v>0</v>
      </c>
      <c r="B3" s="2" t="s">
        <v>12</v>
      </c>
      <c r="C3" s="3" t="s">
        <v>16</v>
      </c>
    </row>
    <row r="4" spans="1:3" x14ac:dyDescent="0.25">
      <c r="A4" s="4" t="s">
        <v>3</v>
      </c>
      <c r="B4" s="4" t="s">
        <v>14</v>
      </c>
      <c r="C4" s="5">
        <v>2200</v>
      </c>
    </row>
    <row r="5" spans="1:3" x14ac:dyDescent="0.25">
      <c r="A5" s="4" t="s">
        <v>5</v>
      </c>
      <c r="B5" s="4" t="s">
        <v>14</v>
      </c>
      <c r="C5" s="5">
        <v>900</v>
      </c>
    </row>
    <row r="6" spans="1:3" x14ac:dyDescent="0.25">
      <c r="A6" s="4" t="s">
        <v>4</v>
      </c>
      <c r="B6" s="4" t="s">
        <v>15</v>
      </c>
      <c r="C6" s="5">
        <v>1400</v>
      </c>
    </row>
    <row r="7" spans="1:3" x14ac:dyDescent="0.25">
      <c r="A7" s="4" t="s">
        <v>2</v>
      </c>
      <c r="B7" s="4" t="s">
        <v>13</v>
      </c>
      <c r="C7" s="5">
        <v>1200</v>
      </c>
    </row>
  </sheetData>
  <mergeCells count="2">
    <mergeCell ref="A1:C1"/>
    <mergeCell ref="A2:C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2"/>
  <dimension ref="A1:C7"/>
  <sheetViews>
    <sheetView zoomScale="130" zoomScaleNormal="130" workbookViewId="0">
      <selection activeCell="G14" sqref="G14"/>
    </sheetView>
  </sheetViews>
  <sheetFormatPr defaultColWidth="11.85546875" defaultRowHeight="15" x14ac:dyDescent="0.25"/>
  <cols>
    <col min="1" max="3" width="16.5703125" customWidth="1"/>
  </cols>
  <sheetData>
    <row r="1" spans="1:3" ht="23.25" x14ac:dyDescent="0.35">
      <c r="A1" s="63" t="s">
        <v>20</v>
      </c>
      <c r="B1" s="63"/>
      <c r="C1" s="63"/>
    </row>
    <row r="2" spans="1:3" x14ac:dyDescent="0.25">
      <c r="A2" s="60"/>
      <c r="B2" s="61"/>
      <c r="C2" s="64"/>
    </row>
    <row r="3" spans="1:3" s="20" customFormat="1" ht="37.5" x14ac:dyDescent="0.25">
      <c r="A3" s="15" t="s">
        <v>0</v>
      </c>
      <c r="B3" s="15" t="s">
        <v>12</v>
      </c>
      <c r="C3" s="16" t="s">
        <v>16</v>
      </c>
    </row>
    <row r="4" spans="1:3" x14ac:dyDescent="0.25">
      <c r="A4" s="4"/>
      <c r="B4" s="4"/>
      <c r="C4" s="5"/>
    </row>
    <row r="5" spans="1:3" x14ac:dyDescent="0.25">
      <c r="A5" s="4"/>
      <c r="B5" s="4"/>
      <c r="C5" s="5"/>
    </row>
    <row r="6" spans="1:3" x14ac:dyDescent="0.25">
      <c r="A6" s="4"/>
      <c r="B6" s="4"/>
      <c r="C6" s="5"/>
    </row>
    <row r="7" spans="1:3" x14ac:dyDescent="0.25">
      <c r="A7" s="4"/>
      <c r="B7" s="4"/>
      <c r="C7" s="5"/>
    </row>
  </sheetData>
  <mergeCells count="2">
    <mergeCell ref="A1:C1"/>
    <mergeCell ref="A2:C2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3"/>
  <dimension ref="A1:E10"/>
  <sheetViews>
    <sheetView zoomScale="130" zoomScaleNormal="130" workbookViewId="0">
      <selection activeCell="C13" sqref="C13"/>
    </sheetView>
  </sheetViews>
  <sheetFormatPr defaultRowHeight="15" x14ac:dyDescent="0.25"/>
  <cols>
    <col min="1" max="1" width="17" customWidth="1"/>
    <col min="2" max="2" width="15.28515625" style="1" bestFit="1" customWidth="1"/>
    <col min="3" max="3" width="14.7109375" style="1" bestFit="1" customWidth="1"/>
    <col min="4" max="4" width="13.7109375" bestFit="1" customWidth="1"/>
    <col min="5" max="5" width="26" bestFit="1" customWidth="1"/>
  </cols>
  <sheetData>
    <row r="1" spans="1:5" ht="23.25" x14ac:dyDescent="0.35">
      <c r="A1" s="63" t="s">
        <v>8</v>
      </c>
      <c r="B1" s="63"/>
      <c r="C1" s="63"/>
      <c r="D1" s="63"/>
      <c r="E1" s="63"/>
    </row>
    <row r="2" spans="1:5" x14ac:dyDescent="0.25">
      <c r="A2" s="62"/>
      <c r="B2" s="62"/>
      <c r="C2" s="62"/>
      <c r="D2" s="62"/>
      <c r="E2" s="62"/>
    </row>
    <row r="3" spans="1:5" ht="37.5" x14ac:dyDescent="0.25">
      <c r="A3" s="15" t="s">
        <v>0</v>
      </c>
      <c r="B3" s="16" t="s">
        <v>16</v>
      </c>
      <c r="C3" s="16" t="s">
        <v>1</v>
      </c>
      <c r="D3" s="15" t="s">
        <v>7</v>
      </c>
      <c r="E3" s="15" t="s">
        <v>8</v>
      </c>
    </row>
    <row r="4" spans="1:5" x14ac:dyDescent="0.25">
      <c r="A4" s="4" t="s">
        <v>2</v>
      </c>
      <c r="B4" s="5">
        <v>1200</v>
      </c>
      <c r="C4" s="6">
        <v>10</v>
      </c>
      <c r="D4" s="5">
        <f>B4*C4</f>
        <v>12000</v>
      </c>
      <c r="E4" s="4"/>
    </row>
    <row r="5" spans="1:5" x14ac:dyDescent="0.25">
      <c r="A5" s="4" t="s">
        <v>3</v>
      </c>
      <c r="B5" s="5">
        <v>2200</v>
      </c>
      <c r="C5" s="6">
        <v>32</v>
      </c>
      <c r="D5" s="5">
        <f t="shared" ref="D5:D7" si="0">B5*C5</f>
        <v>70400</v>
      </c>
      <c r="E5" s="4"/>
    </row>
    <row r="6" spans="1:5" x14ac:dyDescent="0.25">
      <c r="A6" s="4" t="s">
        <v>4</v>
      </c>
      <c r="B6" s="5">
        <v>1400</v>
      </c>
      <c r="C6" s="6">
        <v>28</v>
      </c>
      <c r="D6" s="5">
        <f t="shared" si="0"/>
        <v>39200</v>
      </c>
      <c r="E6" s="4"/>
    </row>
    <row r="7" spans="1:5" x14ac:dyDescent="0.25">
      <c r="A7" s="4" t="s">
        <v>5</v>
      </c>
      <c r="B7" s="5">
        <v>900</v>
      </c>
      <c r="C7" s="6">
        <v>40</v>
      </c>
      <c r="D7" s="5">
        <f t="shared" si="0"/>
        <v>36000</v>
      </c>
      <c r="E7" s="4"/>
    </row>
    <row r="8" spans="1:5" x14ac:dyDescent="0.25">
      <c r="A8" s="4" t="s">
        <v>2</v>
      </c>
      <c r="B8" s="5">
        <v>1200</v>
      </c>
      <c r="C8" s="6">
        <v>8</v>
      </c>
      <c r="D8" s="5">
        <f>B8*C8</f>
        <v>9600</v>
      </c>
      <c r="E8" s="4"/>
    </row>
    <row r="9" spans="1:5" x14ac:dyDescent="0.25">
      <c r="A9" s="4" t="s">
        <v>3</v>
      </c>
      <c r="B9" s="5">
        <v>2200</v>
      </c>
      <c r="C9" s="6">
        <v>40</v>
      </c>
      <c r="D9" s="5">
        <f t="shared" ref="D9:D10" si="1">B9*C9</f>
        <v>88000</v>
      </c>
      <c r="E9" s="4"/>
    </row>
    <row r="10" spans="1:5" x14ac:dyDescent="0.25">
      <c r="A10" s="4" t="s">
        <v>4</v>
      </c>
      <c r="B10" s="5">
        <v>1400</v>
      </c>
      <c r="C10" s="6">
        <v>12</v>
      </c>
      <c r="D10" s="5">
        <f t="shared" si="1"/>
        <v>16800</v>
      </c>
      <c r="E10" s="4"/>
    </row>
  </sheetData>
  <mergeCells count="2">
    <mergeCell ref="A2:E2"/>
    <mergeCell ref="A1:E1"/>
  </mergeCells>
  <conditionalFormatting sqref="E4:E7">
    <cfRule type="cellIs" dxfId="6" priority="3" operator="equal">
      <formula>$A$9</formula>
    </cfRule>
  </conditionalFormatting>
  <conditionalFormatting sqref="E8:E10">
    <cfRule type="cellIs" dxfId="5" priority="2" operator="equal">
      <formula>$A$9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4"/>
  <dimension ref="A1:G18"/>
  <sheetViews>
    <sheetView zoomScale="110" zoomScaleNormal="110" workbookViewId="0">
      <selection activeCell="D13" sqref="D13"/>
    </sheetView>
  </sheetViews>
  <sheetFormatPr defaultRowHeight="15" x14ac:dyDescent="0.25"/>
  <cols>
    <col min="1" max="1" width="19.7109375" bestFit="1" customWidth="1"/>
    <col min="2" max="2" width="15.28515625" style="1" bestFit="1" customWidth="1"/>
    <col min="3" max="3" width="15.28515625" style="1" customWidth="1"/>
    <col min="4" max="4" width="15.28515625" customWidth="1"/>
    <col min="5" max="5" width="13.42578125" customWidth="1"/>
    <col min="6" max="6" width="14.28515625" style="1" bestFit="1" customWidth="1"/>
    <col min="7" max="7" width="13.85546875" bestFit="1" customWidth="1"/>
  </cols>
  <sheetData>
    <row r="1" spans="1:7" ht="26.25" x14ac:dyDescent="0.4">
      <c r="A1" s="65" t="s">
        <v>21</v>
      </c>
      <c r="B1" s="65"/>
      <c r="C1" s="65"/>
      <c r="D1" s="65"/>
      <c r="E1" s="65"/>
      <c r="F1" s="65"/>
      <c r="G1" s="65"/>
    </row>
    <row r="2" spans="1:7" x14ac:dyDescent="0.25">
      <c r="A2" s="62"/>
      <c r="B2" s="62"/>
      <c r="C2" s="62"/>
      <c r="D2" s="62"/>
      <c r="E2" s="62"/>
      <c r="F2" s="62"/>
      <c r="G2" s="62"/>
    </row>
    <row r="3" spans="1:7" s="17" customFormat="1" ht="37.5" x14ac:dyDescent="0.3">
      <c r="A3" s="15" t="s">
        <v>0</v>
      </c>
      <c r="B3" s="16" t="s">
        <v>16</v>
      </c>
      <c r="C3" s="16" t="s">
        <v>1</v>
      </c>
      <c r="D3" s="15" t="s">
        <v>7</v>
      </c>
      <c r="E3" s="15" t="s">
        <v>28</v>
      </c>
      <c r="F3" s="16" t="s">
        <v>31</v>
      </c>
      <c r="G3" s="15" t="s">
        <v>32</v>
      </c>
    </row>
    <row r="4" spans="1:7" ht="18" x14ac:dyDescent="0.25">
      <c r="A4" s="4" t="s">
        <v>2</v>
      </c>
      <c r="B4" s="5">
        <v>1200</v>
      </c>
      <c r="C4" s="6">
        <v>9</v>
      </c>
      <c r="D4" s="5">
        <f>B4*C4</f>
        <v>10800</v>
      </c>
      <c r="E4" s="4"/>
      <c r="F4" s="5"/>
      <c r="G4" s="27"/>
    </row>
    <row r="5" spans="1:7" ht="18" x14ac:dyDescent="0.25">
      <c r="A5" s="4" t="s">
        <v>3</v>
      </c>
      <c r="B5" s="5">
        <v>2200</v>
      </c>
      <c r="C5" s="6">
        <v>15</v>
      </c>
      <c r="D5" s="5">
        <f t="shared" ref="D5:D13" si="0">B5*C5</f>
        <v>33000</v>
      </c>
      <c r="E5" s="4"/>
      <c r="F5" s="5"/>
      <c r="G5" s="27"/>
    </row>
    <row r="6" spans="1:7" ht="18" x14ac:dyDescent="0.25">
      <c r="A6" s="4" t="s">
        <v>4</v>
      </c>
      <c r="B6" s="5">
        <v>1400</v>
      </c>
      <c r="C6" s="6">
        <v>101</v>
      </c>
      <c r="D6" s="5">
        <f t="shared" si="0"/>
        <v>141400</v>
      </c>
      <c r="E6" s="4"/>
      <c r="F6" s="5"/>
      <c r="G6" s="27"/>
    </row>
    <row r="7" spans="1:7" ht="18" x14ac:dyDescent="0.25">
      <c r="A7" s="4" t="s">
        <v>5</v>
      </c>
      <c r="B7" s="5">
        <v>900</v>
      </c>
      <c r="C7" s="6">
        <v>31</v>
      </c>
      <c r="D7" s="5">
        <f t="shared" si="0"/>
        <v>27900</v>
      </c>
      <c r="E7" s="4"/>
      <c r="F7" s="5"/>
      <c r="G7" s="27"/>
    </row>
    <row r="8" spans="1:7" ht="18" x14ac:dyDescent="0.25">
      <c r="A8" s="4" t="s">
        <v>2</v>
      </c>
      <c r="B8" s="5">
        <v>1200</v>
      </c>
      <c r="C8" s="6">
        <v>8</v>
      </c>
      <c r="D8" s="5">
        <f t="shared" si="0"/>
        <v>9600</v>
      </c>
      <c r="E8" s="4"/>
      <c r="F8" s="5"/>
      <c r="G8" s="27"/>
    </row>
    <row r="9" spans="1:7" ht="18" x14ac:dyDescent="0.25">
      <c r="A9" s="4" t="s">
        <v>3</v>
      </c>
      <c r="B9" s="5">
        <v>2200</v>
      </c>
      <c r="C9" s="6">
        <v>120</v>
      </c>
      <c r="D9" s="5">
        <f t="shared" si="0"/>
        <v>264000</v>
      </c>
      <c r="E9" s="4"/>
      <c r="F9" s="5"/>
      <c r="G9" s="27"/>
    </row>
    <row r="10" spans="1:7" ht="18" x14ac:dyDescent="0.25">
      <c r="A10" s="4" t="s">
        <v>4</v>
      </c>
      <c r="B10" s="5">
        <v>1400</v>
      </c>
      <c r="C10" s="6">
        <v>12</v>
      </c>
      <c r="D10" s="5">
        <f t="shared" si="0"/>
        <v>16800</v>
      </c>
      <c r="E10" s="4"/>
      <c r="F10" s="5"/>
      <c r="G10" s="27"/>
    </row>
    <row r="11" spans="1:7" ht="18" x14ac:dyDescent="0.25">
      <c r="A11" s="4" t="s">
        <v>5</v>
      </c>
      <c r="B11" s="5">
        <v>900</v>
      </c>
      <c r="C11" s="6">
        <v>55</v>
      </c>
      <c r="D11" s="5">
        <f t="shared" si="0"/>
        <v>49500</v>
      </c>
      <c r="E11" s="4"/>
      <c r="F11" s="5"/>
      <c r="G11" s="27"/>
    </row>
    <row r="12" spans="1:7" ht="18" x14ac:dyDescent="0.25">
      <c r="A12" s="4" t="s">
        <v>2</v>
      </c>
      <c r="B12" s="5">
        <v>1200</v>
      </c>
      <c r="C12" s="6">
        <v>200</v>
      </c>
      <c r="D12" s="5">
        <f t="shared" si="0"/>
        <v>240000</v>
      </c>
      <c r="E12" s="4"/>
      <c r="F12" s="5"/>
      <c r="G12" s="27"/>
    </row>
    <row r="13" spans="1:7" ht="18" x14ac:dyDescent="0.25">
      <c r="A13" s="4" t="s">
        <v>3</v>
      </c>
      <c r="B13" s="5">
        <v>2200</v>
      </c>
      <c r="C13" s="6">
        <v>30</v>
      </c>
      <c r="D13" s="5">
        <f t="shared" si="0"/>
        <v>66000</v>
      </c>
      <c r="E13" s="4"/>
      <c r="F13" s="5"/>
      <c r="G13" s="27"/>
    </row>
    <row r="15" spans="1:7" x14ac:dyDescent="0.25">
      <c r="A15" s="2" t="s">
        <v>1</v>
      </c>
      <c r="B15" s="3" t="s">
        <v>29</v>
      </c>
      <c r="C15" s="3" t="s">
        <v>30</v>
      </c>
      <c r="D15" s="2" t="s">
        <v>29</v>
      </c>
    </row>
    <row r="16" spans="1:7" ht="18" x14ac:dyDescent="0.25">
      <c r="A16" s="2">
        <v>100</v>
      </c>
      <c r="B16" s="3" t="s">
        <v>26</v>
      </c>
      <c r="C16" s="3">
        <v>100000</v>
      </c>
      <c r="D16" s="28" t="s">
        <v>9</v>
      </c>
    </row>
    <row r="17" spans="1:4" ht="18" x14ac:dyDescent="0.25">
      <c r="A17" s="2">
        <v>50</v>
      </c>
      <c r="B17" s="3" t="s">
        <v>27</v>
      </c>
      <c r="C17" s="25">
        <v>0.02</v>
      </c>
      <c r="D17" s="28" t="s">
        <v>10</v>
      </c>
    </row>
    <row r="18" spans="1:4" ht="18" x14ac:dyDescent="0.25">
      <c r="A18" s="2"/>
      <c r="B18" s="3"/>
      <c r="C18" s="26">
        <v>8.0000000000000002E-3</v>
      </c>
      <c r="D18" s="28" t="s">
        <v>11</v>
      </c>
    </row>
  </sheetData>
  <mergeCells count="2">
    <mergeCell ref="A2:G2"/>
    <mergeCell ref="A1:G1"/>
  </mergeCells>
  <conditionalFormatting sqref="E4:F13">
    <cfRule type="cellIs" dxfId="4" priority="1" operator="equal">
      <formula>"I"</formula>
    </cfRule>
    <cfRule type="cellIs" dxfId="3" priority="5" operator="equal">
      <formula>$A$9</formula>
    </cfRule>
  </conditionalFormatting>
  <conditionalFormatting sqref="G4:G13">
    <cfRule type="cellIs" dxfId="2" priority="15" operator="equal">
      <formula>$D$18</formula>
    </cfRule>
    <cfRule type="cellIs" dxfId="1" priority="16" operator="equal">
      <formula>$D$17</formula>
    </cfRule>
    <cfRule type="cellIs" dxfId="0" priority="17" operator="equal">
      <formula>$D$16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5"/>
  <dimension ref="A1:G5"/>
  <sheetViews>
    <sheetView zoomScale="130" zoomScaleNormal="130" workbookViewId="0">
      <selection activeCell="D11" sqref="D11"/>
    </sheetView>
  </sheetViews>
  <sheetFormatPr defaultRowHeight="15" x14ac:dyDescent="0.25"/>
  <cols>
    <col min="1" max="1" width="17.140625" bestFit="1" customWidth="1"/>
    <col min="2" max="2" width="13.5703125" style="1" bestFit="1" customWidth="1"/>
    <col min="3" max="3" width="9.42578125" customWidth="1"/>
    <col min="4" max="4" width="17.85546875" bestFit="1" customWidth="1"/>
    <col min="6" max="6" width="9.140625" customWidth="1"/>
  </cols>
  <sheetData>
    <row r="1" spans="1:7" x14ac:dyDescent="0.25">
      <c r="A1" s="2" t="s">
        <v>33</v>
      </c>
      <c r="B1" s="3" t="s">
        <v>6</v>
      </c>
      <c r="D1" s="24" t="s">
        <v>34</v>
      </c>
      <c r="F1" s="50" t="s">
        <v>49</v>
      </c>
      <c r="G1" s="50" t="s">
        <v>55</v>
      </c>
    </row>
    <row r="2" spans="1:7" x14ac:dyDescent="0.25">
      <c r="A2" s="52" t="s">
        <v>2</v>
      </c>
      <c r="B2" s="5">
        <v>1200</v>
      </c>
      <c r="C2" s="23"/>
      <c r="D2" s="4"/>
      <c r="F2" s="4">
        <v>1</v>
      </c>
      <c r="G2" s="4">
        <v>1.1000000000000001</v>
      </c>
    </row>
    <row r="3" spans="1:7" x14ac:dyDescent="0.25">
      <c r="A3" s="4" t="s">
        <v>3</v>
      </c>
      <c r="B3" s="5">
        <v>2200</v>
      </c>
      <c r="C3" s="23"/>
      <c r="F3" s="4">
        <v>2</v>
      </c>
      <c r="G3" s="4">
        <v>1.2</v>
      </c>
    </row>
    <row r="4" spans="1:7" ht="15.75" x14ac:dyDescent="0.25">
      <c r="A4" s="4" t="s">
        <v>4</v>
      </c>
      <c r="B4" s="5">
        <v>1400</v>
      </c>
      <c r="C4" s="23"/>
      <c r="D4" s="51" t="s">
        <v>25</v>
      </c>
      <c r="F4" s="4">
        <v>3</v>
      </c>
      <c r="G4" s="4">
        <v>1.5</v>
      </c>
    </row>
    <row r="5" spans="1:7" ht="15.75" x14ac:dyDescent="0.25">
      <c r="A5" s="4" t="s">
        <v>5</v>
      </c>
      <c r="B5" s="5">
        <v>900</v>
      </c>
      <c r="C5" s="23"/>
      <c r="D5" s="29"/>
      <c r="F5" s="4">
        <v>4</v>
      </c>
      <c r="G5" s="4">
        <v>1.8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6"/>
  <dimension ref="A1:H13"/>
  <sheetViews>
    <sheetView zoomScale="110" zoomScaleNormal="110" workbookViewId="0">
      <selection activeCell="G15" sqref="G15"/>
    </sheetView>
  </sheetViews>
  <sheetFormatPr defaultRowHeight="15" x14ac:dyDescent="0.25"/>
  <cols>
    <col min="1" max="1" width="12.5703125" customWidth="1"/>
    <col min="2" max="2" width="6.28515625" bestFit="1" customWidth="1"/>
    <col min="3" max="3" width="15.85546875" style="1" bestFit="1" customWidth="1"/>
    <col min="4" max="4" width="13.28515625" style="1" bestFit="1" customWidth="1"/>
    <col min="5" max="5" width="14.42578125" bestFit="1" customWidth="1"/>
    <col min="6" max="6" width="7" customWidth="1"/>
    <col min="7" max="7" width="18.28515625" customWidth="1"/>
    <col min="8" max="8" width="18.140625" style="1" customWidth="1"/>
  </cols>
  <sheetData>
    <row r="1" spans="1:8" s="10" customFormat="1" ht="23.25" x14ac:dyDescent="0.25">
      <c r="A1" s="66" t="s">
        <v>23</v>
      </c>
      <c r="B1" s="66"/>
      <c r="C1" s="66"/>
      <c r="D1" s="66"/>
      <c r="E1" s="66"/>
      <c r="G1" s="66" t="s">
        <v>29</v>
      </c>
      <c r="H1" s="66"/>
    </row>
    <row r="2" spans="1:8" x14ac:dyDescent="0.25">
      <c r="A2" s="62"/>
      <c r="B2" s="62"/>
      <c r="C2" s="62"/>
      <c r="D2" s="62"/>
      <c r="E2" s="62"/>
      <c r="G2" s="62"/>
      <c r="H2" s="62"/>
    </row>
    <row r="3" spans="1:8" s="22" customFormat="1" ht="31.5" x14ac:dyDescent="0.25">
      <c r="A3" s="18" t="s">
        <v>0</v>
      </c>
      <c r="B3" s="18" t="s">
        <v>12</v>
      </c>
      <c r="C3" s="19" t="s">
        <v>16</v>
      </c>
      <c r="D3" s="19" t="s">
        <v>1</v>
      </c>
      <c r="E3" s="18" t="s">
        <v>7</v>
      </c>
      <c r="G3" s="18" t="s">
        <v>0</v>
      </c>
      <c r="H3" s="19" t="s">
        <v>18</v>
      </c>
    </row>
    <row r="4" spans="1:8" x14ac:dyDescent="0.25">
      <c r="A4" s="4" t="s">
        <v>2</v>
      </c>
      <c r="B4" s="4" t="s">
        <v>13</v>
      </c>
      <c r="C4" s="5">
        <v>1200</v>
      </c>
      <c r="D4" s="6">
        <v>10</v>
      </c>
      <c r="E4" s="5">
        <f>C4*D4</f>
        <v>12000</v>
      </c>
      <c r="G4" s="4" t="s">
        <v>2</v>
      </c>
      <c r="H4" s="5"/>
    </row>
    <row r="5" spans="1:8" x14ac:dyDescent="0.25">
      <c r="A5" s="4" t="s">
        <v>3</v>
      </c>
      <c r="B5" s="4" t="s">
        <v>14</v>
      </c>
      <c r="C5" s="5">
        <v>2200</v>
      </c>
      <c r="D5" s="6">
        <v>32</v>
      </c>
      <c r="E5" s="5">
        <f t="shared" ref="E5:E12" si="0">C5*D5</f>
        <v>70400</v>
      </c>
      <c r="G5" s="4" t="s">
        <v>3</v>
      </c>
      <c r="H5" s="5"/>
    </row>
    <row r="6" spans="1:8" x14ac:dyDescent="0.25">
      <c r="A6" s="4" t="s">
        <v>4</v>
      </c>
      <c r="B6" s="4" t="s">
        <v>15</v>
      </c>
      <c r="C6" s="5">
        <v>1400</v>
      </c>
      <c r="D6" s="6">
        <v>28</v>
      </c>
      <c r="E6" s="5">
        <f t="shared" si="0"/>
        <v>39200</v>
      </c>
      <c r="G6" s="4" t="s">
        <v>4</v>
      </c>
      <c r="H6" s="5"/>
    </row>
    <row r="7" spans="1:8" x14ac:dyDescent="0.25">
      <c r="A7" s="4" t="s">
        <v>5</v>
      </c>
      <c r="B7" s="4" t="s">
        <v>14</v>
      </c>
      <c r="C7" s="5">
        <v>900</v>
      </c>
      <c r="D7" s="6">
        <v>40</v>
      </c>
      <c r="E7" s="5">
        <f t="shared" si="0"/>
        <v>36000</v>
      </c>
      <c r="G7" s="4" t="s">
        <v>5</v>
      </c>
      <c r="H7" s="5"/>
    </row>
    <row r="8" spans="1:8" x14ac:dyDescent="0.25">
      <c r="A8" s="4" t="s">
        <v>2</v>
      </c>
      <c r="B8" s="4" t="s">
        <v>13</v>
      </c>
      <c r="C8" s="5">
        <v>1200</v>
      </c>
      <c r="D8" s="6">
        <v>8</v>
      </c>
      <c r="E8" s="5">
        <f t="shared" si="0"/>
        <v>9600</v>
      </c>
      <c r="G8" s="11" t="s">
        <v>19</v>
      </c>
      <c r="H8" s="3"/>
    </row>
    <row r="9" spans="1:8" x14ac:dyDescent="0.25">
      <c r="A9" s="4" t="s">
        <v>3</v>
      </c>
      <c r="B9" s="4" t="s">
        <v>14</v>
      </c>
      <c r="C9" s="5">
        <v>2200</v>
      </c>
      <c r="D9" s="6">
        <v>40</v>
      </c>
      <c r="E9" s="5">
        <f t="shared" si="0"/>
        <v>88000</v>
      </c>
    </row>
    <row r="10" spans="1:8" x14ac:dyDescent="0.25">
      <c r="A10" s="4" t="s">
        <v>4</v>
      </c>
      <c r="B10" s="4" t="s">
        <v>15</v>
      </c>
      <c r="C10" s="5">
        <v>1400</v>
      </c>
      <c r="D10" s="6">
        <v>12</v>
      </c>
      <c r="E10" s="5">
        <f t="shared" si="0"/>
        <v>16800</v>
      </c>
      <c r="G10" s="67" t="s">
        <v>35</v>
      </c>
      <c r="H10" s="67"/>
    </row>
    <row r="11" spans="1:8" x14ac:dyDescent="0.25">
      <c r="A11" s="4" t="s">
        <v>5</v>
      </c>
      <c r="B11" s="4" t="s">
        <v>14</v>
      </c>
      <c r="C11" s="5">
        <v>900</v>
      </c>
      <c r="D11" s="6">
        <v>55</v>
      </c>
      <c r="E11" s="5">
        <f t="shared" si="0"/>
        <v>49500</v>
      </c>
      <c r="G11" s="4"/>
      <c r="H11" s="5"/>
    </row>
    <row r="12" spans="1:8" x14ac:dyDescent="0.25">
      <c r="A12" s="4" t="s">
        <v>2</v>
      </c>
      <c r="B12" s="4" t="s">
        <v>13</v>
      </c>
      <c r="C12" s="5">
        <v>1200</v>
      </c>
      <c r="D12" s="6">
        <v>26</v>
      </c>
      <c r="E12" s="5">
        <f t="shared" si="0"/>
        <v>31200</v>
      </c>
    </row>
    <row r="13" spans="1:8" x14ac:dyDescent="0.25">
      <c r="E13" s="7"/>
    </row>
  </sheetData>
  <mergeCells count="5">
    <mergeCell ref="A2:E2"/>
    <mergeCell ref="A1:E1"/>
    <mergeCell ref="G1:H1"/>
    <mergeCell ref="G2:H2"/>
    <mergeCell ref="G10:H10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7"/>
  <dimension ref="A1:J13"/>
  <sheetViews>
    <sheetView topLeftCell="E1" zoomScale="110" zoomScaleNormal="110" workbookViewId="0">
      <selection activeCell="K16" sqref="K16"/>
    </sheetView>
  </sheetViews>
  <sheetFormatPr defaultRowHeight="15" x14ac:dyDescent="0.25"/>
  <cols>
    <col min="1" max="1" width="14.28515625" customWidth="1"/>
    <col min="2" max="2" width="11.85546875" customWidth="1"/>
    <col min="3" max="3" width="5.5703125" bestFit="1" customWidth="1"/>
    <col min="4" max="4" width="13.85546875" style="1" bestFit="1" customWidth="1"/>
    <col min="5" max="5" width="13.7109375" style="1" customWidth="1"/>
    <col min="6" max="6" width="13.28515625" bestFit="1" customWidth="1"/>
    <col min="7" max="7" width="7" customWidth="1"/>
    <col min="8" max="8" width="12.42578125" customWidth="1"/>
    <col min="9" max="9" width="11.42578125" customWidth="1"/>
    <col min="10" max="10" width="14.5703125" style="1" customWidth="1"/>
  </cols>
  <sheetData>
    <row r="1" spans="1:10" s="10" customFormat="1" ht="23.25" x14ac:dyDescent="0.25">
      <c r="A1" s="66" t="s">
        <v>23</v>
      </c>
      <c r="B1" s="66"/>
      <c r="C1" s="66"/>
      <c r="D1" s="66"/>
      <c r="E1" s="66"/>
      <c r="F1" s="66"/>
      <c r="H1" s="66" t="s">
        <v>29</v>
      </c>
      <c r="I1" s="66"/>
      <c r="J1" s="66"/>
    </row>
    <row r="2" spans="1:10" x14ac:dyDescent="0.25">
      <c r="A2" s="62"/>
      <c r="B2" s="62"/>
      <c r="C2" s="62"/>
      <c r="D2" s="62"/>
      <c r="E2" s="62"/>
      <c r="F2" s="62"/>
      <c r="H2" s="62"/>
      <c r="I2" s="62"/>
      <c r="J2" s="62"/>
    </row>
    <row r="3" spans="1:10" s="22" customFormat="1" ht="47.25" x14ac:dyDescent="0.25">
      <c r="A3" s="18" t="s">
        <v>0</v>
      </c>
      <c r="B3" s="18" t="s">
        <v>42</v>
      </c>
      <c r="C3" s="18" t="s">
        <v>12</v>
      </c>
      <c r="D3" s="19" t="s">
        <v>16</v>
      </c>
      <c r="E3" s="19" t="s">
        <v>1</v>
      </c>
      <c r="F3" s="18" t="s">
        <v>7</v>
      </c>
      <c r="H3" s="18" t="s">
        <v>0</v>
      </c>
      <c r="I3" s="18" t="s">
        <v>42</v>
      </c>
      <c r="J3" s="19" t="s">
        <v>56</v>
      </c>
    </row>
    <row r="4" spans="1:10" x14ac:dyDescent="0.25">
      <c r="A4" s="4" t="s">
        <v>2</v>
      </c>
      <c r="B4" s="4" t="s">
        <v>44</v>
      </c>
      <c r="C4" s="4" t="s">
        <v>13</v>
      </c>
      <c r="D4" s="5">
        <v>1200</v>
      </c>
      <c r="E4" s="6">
        <v>10</v>
      </c>
      <c r="F4" s="5">
        <f>D4*E4</f>
        <v>12000</v>
      </c>
      <c r="H4" s="4" t="s">
        <v>2</v>
      </c>
      <c r="I4" s="4" t="s">
        <v>44</v>
      </c>
      <c r="J4" s="5"/>
    </row>
    <row r="5" spans="1:10" x14ac:dyDescent="0.25">
      <c r="A5" s="4" t="s">
        <v>3</v>
      </c>
      <c r="B5" s="4" t="s">
        <v>45</v>
      </c>
      <c r="C5" s="4" t="s">
        <v>14</v>
      </c>
      <c r="D5" s="5">
        <v>2200</v>
      </c>
      <c r="E5" s="6">
        <v>32</v>
      </c>
      <c r="F5" s="5">
        <f t="shared" ref="F5:F12" si="0">D5*E5</f>
        <v>70400</v>
      </c>
      <c r="H5" s="4" t="s">
        <v>3</v>
      </c>
      <c r="I5" s="4" t="s">
        <v>45</v>
      </c>
      <c r="J5" s="5"/>
    </row>
    <row r="6" spans="1:10" x14ac:dyDescent="0.25">
      <c r="A6" s="4" t="s">
        <v>4</v>
      </c>
      <c r="B6" s="4" t="s">
        <v>46</v>
      </c>
      <c r="C6" s="4" t="s">
        <v>15</v>
      </c>
      <c r="D6" s="5">
        <v>1400</v>
      </c>
      <c r="E6" s="6">
        <v>28</v>
      </c>
      <c r="F6" s="5">
        <f t="shared" si="0"/>
        <v>39200</v>
      </c>
      <c r="H6" s="4" t="s">
        <v>4</v>
      </c>
      <c r="I6" s="4" t="s">
        <v>46</v>
      </c>
      <c r="J6" s="5"/>
    </row>
    <row r="7" spans="1:10" x14ac:dyDescent="0.25">
      <c r="A7" s="4" t="s">
        <v>5</v>
      </c>
      <c r="B7" s="4" t="s">
        <v>47</v>
      </c>
      <c r="C7" s="4" t="s">
        <v>14</v>
      </c>
      <c r="D7" s="5">
        <v>900</v>
      </c>
      <c r="E7" s="6">
        <v>40</v>
      </c>
      <c r="F7" s="5">
        <f t="shared" si="0"/>
        <v>36000</v>
      </c>
      <c r="H7" s="4" t="s">
        <v>5</v>
      </c>
      <c r="I7" s="4" t="s">
        <v>47</v>
      </c>
      <c r="J7" s="5"/>
    </row>
    <row r="8" spans="1:10" x14ac:dyDescent="0.25">
      <c r="A8" s="4" t="s">
        <v>2</v>
      </c>
      <c r="B8" s="4" t="s">
        <v>44</v>
      </c>
      <c r="C8" s="4" t="s">
        <v>13</v>
      </c>
      <c r="D8" s="5">
        <v>1200</v>
      </c>
      <c r="E8" s="6">
        <v>8</v>
      </c>
      <c r="F8" s="5">
        <f t="shared" si="0"/>
        <v>9600</v>
      </c>
      <c r="J8"/>
    </row>
    <row r="9" spans="1:10" x14ac:dyDescent="0.25">
      <c r="A9" s="4" t="s">
        <v>3</v>
      </c>
      <c r="B9" s="4" t="s">
        <v>45</v>
      </c>
      <c r="C9" s="4" t="s">
        <v>14</v>
      </c>
      <c r="D9" s="5">
        <v>2200</v>
      </c>
      <c r="E9" s="6">
        <v>40</v>
      </c>
      <c r="F9" s="5">
        <f t="shared" si="0"/>
        <v>88000</v>
      </c>
      <c r="J9"/>
    </row>
    <row r="10" spans="1:10" x14ac:dyDescent="0.25">
      <c r="A10" s="4" t="s">
        <v>4</v>
      </c>
      <c r="B10" s="4" t="s">
        <v>46</v>
      </c>
      <c r="C10" s="4" t="s">
        <v>15</v>
      </c>
      <c r="D10" s="5">
        <v>1400</v>
      </c>
      <c r="E10" s="6">
        <v>12</v>
      </c>
      <c r="F10" s="5">
        <f t="shared" si="0"/>
        <v>16800</v>
      </c>
      <c r="J10"/>
    </row>
    <row r="11" spans="1:10" x14ac:dyDescent="0.25">
      <c r="A11" s="4" t="s">
        <v>5</v>
      </c>
      <c r="B11" s="4" t="s">
        <v>47</v>
      </c>
      <c r="C11" s="4" t="s">
        <v>14</v>
      </c>
      <c r="D11" s="5">
        <v>900</v>
      </c>
      <c r="E11" s="6">
        <v>55</v>
      </c>
      <c r="F11" s="5">
        <f t="shared" si="0"/>
        <v>49500</v>
      </c>
      <c r="J11"/>
    </row>
    <row r="12" spans="1:10" x14ac:dyDescent="0.25">
      <c r="A12" s="4" t="s">
        <v>2</v>
      </c>
      <c r="B12" s="4" t="s">
        <v>44</v>
      </c>
      <c r="C12" s="4" t="s">
        <v>13</v>
      </c>
      <c r="D12" s="5">
        <v>1200</v>
      </c>
      <c r="E12" s="6">
        <v>26</v>
      </c>
      <c r="F12" s="5">
        <f t="shared" si="0"/>
        <v>31200</v>
      </c>
      <c r="J12"/>
    </row>
    <row r="13" spans="1:10" x14ac:dyDescent="0.25">
      <c r="F13" s="7"/>
    </row>
  </sheetData>
  <mergeCells count="4">
    <mergeCell ref="A1:F1"/>
    <mergeCell ref="H1:J1"/>
    <mergeCell ref="A2:F2"/>
    <mergeCell ref="H2:J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9"/>
  <dimension ref="A1:D12"/>
  <sheetViews>
    <sheetView zoomScaleNormal="100" workbookViewId="0">
      <selection activeCell="F16" sqref="F16"/>
    </sheetView>
  </sheetViews>
  <sheetFormatPr defaultRowHeight="15" x14ac:dyDescent="0.25"/>
  <cols>
    <col min="1" max="1" width="16" customWidth="1"/>
    <col min="2" max="2" width="13.85546875" customWidth="1"/>
    <col min="3" max="3" width="11.7109375" customWidth="1"/>
    <col min="4" max="4" width="13.42578125" bestFit="1" customWidth="1"/>
  </cols>
  <sheetData>
    <row r="1" spans="1:4" ht="26.25" x14ac:dyDescent="0.4">
      <c r="A1" s="65" t="s">
        <v>17</v>
      </c>
      <c r="B1" s="65"/>
      <c r="C1" s="65"/>
      <c r="D1" s="65"/>
    </row>
    <row r="2" spans="1:4" x14ac:dyDescent="0.25">
      <c r="A2" s="62"/>
      <c r="B2" s="62"/>
      <c r="C2" s="62"/>
      <c r="D2" s="62"/>
    </row>
    <row r="3" spans="1:4" s="30" customFormat="1" ht="37.5" x14ac:dyDescent="0.25">
      <c r="A3" s="15" t="s">
        <v>0</v>
      </c>
      <c r="B3" s="16" t="s">
        <v>16</v>
      </c>
      <c r="C3" s="16" t="s">
        <v>17</v>
      </c>
      <c r="D3" s="15" t="s">
        <v>36</v>
      </c>
    </row>
    <row r="4" spans="1:4" x14ac:dyDescent="0.25">
      <c r="A4" s="4" t="s">
        <v>2</v>
      </c>
      <c r="B4" s="5">
        <v>1200</v>
      </c>
      <c r="C4" s="6"/>
      <c r="D4" s="5"/>
    </row>
    <row r="5" spans="1:4" x14ac:dyDescent="0.25">
      <c r="A5" s="4" t="s">
        <v>3</v>
      </c>
      <c r="B5" s="5">
        <v>2200</v>
      </c>
      <c r="C5" s="6"/>
      <c r="D5" s="5"/>
    </row>
    <row r="6" spans="1:4" x14ac:dyDescent="0.25">
      <c r="A6" s="4" t="s">
        <v>4</v>
      </c>
      <c r="B6" s="5">
        <v>1400</v>
      </c>
      <c r="C6" s="6"/>
      <c r="D6" s="5"/>
    </row>
    <row r="7" spans="1:4" x14ac:dyDescent="0.25">
      <c r="A7" s="4" t="s">
        <v>5</v>
      </c>
      <c r="B7" s="5">
        <v>900</v>
      </c>
      <c r="C7" s="6"/>
      <c r="D7" s="5"/>
    </row>
    <row r="8" spans="1:4" x14ac:dyDescent="0.25">
      <c r="A8" s="4" t="s">
        <v>2</v>
      </c>
      <c r="B8" s="5">
        <v>1459</v>
      </c>
      <c r="C8" s="6"/>
      <c r="D8" s="5"/>
    </row>
    <row r="9" spans="1:4" x14ac:dyDescent="0.25">
      <c r="A9" s="4" t="s">
        <v>3</v>
      </c>
      <c r="B9" s="5">
        <v>1100</v>
      </c>
      <c r="C9" s="6"/>
      <c r="D9" s="5"/>
    </row>
    <row r="10" spans="1:4" x14ac:dyDescent="0.25">
      <c r="A10" s="4" t="s">
        <v>4</v>
      </c>
      <c r="B10" s="5">
        <v>990</v>
      </c>
      <c r="C10" s="6"/>
      <c r="D10" s="5"/>
    </row>
    <row r="11" spans="1:4" x14ac:dyDescent="0.25">
      <c r="A11" s="4" t="s">
        <v>4</v>
      </c>
      <c r="B11" s="5">
        <v>1250</v>
      </c>
      <c r="C11" s="6"/>
      <c r="D11" s="5"/>
    </row>
    <row r="12" spans="1:4" x14ac:dyDescent="0.25">
      <c r="A12" s="4" t="s">
        <v>5</v>
      </c>
      <c r="B12" s="5">
        <v>890</v>
      </c>
      <c r="C12" s="6"/>
      <c r="D12" s="5"/>
    </row>
  </sheetData>
  <mergeCells count="2">
    <mergeCell ref="A2:D2"/>
    <mergeCell ref="A1:D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10"/>
  <dimension ref="A1:I12"/>
  <sheetViews>
    <sheetView topLeftCell="B1" zoomScale="110" zoomScaleNormal="110" workbookViewId="0">
      <selection activeCell="E18" sqref="E18"/>
    </sheetView>
  </sheetViews>
  <sheetFormatPr defaultRowHeight="15" x14ac:dyDescent="0.25"/>
  <cols>
    <col min="1" max="1" width="17.28515625" bestFit="1" customWidth="1"/>
    <col min="2" max="2" width="5.5703125" bestFit="1" customWidth="1"/>
    <col min="3" max="3" width="12.28515625" style="1" bestFit="1" customWidth="1"/>
    <col min="4" max="4" width="7.5703125" style="1" customWidth="1"/>
    <col min="5" max="5" width="19" bestFit="1" customWidth="1"/>
    <col min="6" max="6" width="4.42578125" bestFit="1" customWidth="1"/>
    <col min="7" max="7" width="14.5703125" bestFit="1" customWidth="1"/>
    <col min="8" max="8" width="12.28515625" bestFit="1" customWidth="1"/>
    <col min="9" max="9" width="10.28515625" bestFit="1" customWidth="1"/>
  </cols>
  <sheetData>
    <row r="1" spans="1:9" s="22" customFormat="1" ht="23.25" x14ac:dyDescent="0.25">
      <c r="A1" s="31" t="s">
        <v>0</v>
      </c>
      <c r="B1" s="31" t="s">
        <v>12</v>
      </c>
      <c r="C1" s="32" t="s">
        <v>6</v>
      </c>
      <c r="D1" s="33"/>
      <c r="E1" s="68" t="s">
        <v>22</v>
      </c>
      <c r="F1" s="69"/>
      <c r="G1" s="69"/>
      <c r="H1" s="69"/>
      <c r="I1" s="70"/>
    </row>
    <row r="2" spans="1:9" x14ac:dyDescent="0.25">
      <c r="A2" s="4" t="s">
        <v>3</v>
      </c>
      <c r="B2" s="4" t="s">
        <v>14</v>
      </c>
      <c r="C2" s="5">
        <v>2200</v>
      </c>
      <c r="E2" s="12"/>
      <c r="F2" s="12"/>
      <c r="G2" s="12"/>
      <c r="H2" s="12"/>
      <c r="I2" s="12"/>
    </row>
    <row r="3" spans="1:9" ht="15.75" x14ac:dyDescent="0.25">
      <c r="A3" s="4" t="s">
        <v>5</v>
      </c>
      <c r="B3" s="4" t="s">
        <v>14</v>
      </c>
      <c r="C3" s="5">
        <v>900</v>
      </c>
      <c r="E3" s="13" t="s">
        <v>0</v>
      </c>
      <c r="F3" s="21" t="s">
        <v>12</v>
      </c>
      <c r="G3" s="14" t="s">
        <v>16</v>
      </c>
      <c r="H3" s="14" t="s">
        <v>1</v>
      </c>
      <c r="I3" s="13" t="s">
        <v>7</v>
      </c>
    </row>
    <row r="4" spans="1:9" x14ac:dyDescent="0.25">
      <c r="A4" s="4" t="s">
        <v>4</v>
      </c>
      <c r="B4" s="4" t="s">
        <v>15</v>
      </c>
      <c r="C4" s="5">
        <v>1400</v>
      </c>
      <c r="E4" s="4"/>
      <c r="F4" s="5"/>
      <c r="G4" s="5"/>
      <c r="H4" s="6"/>
      <c r="I4" s="5"/>
    </row>
    <row r="5" spans="1:9" x14ac:dyDescent="0.25">
      <c r="A5" s="4" t="s">
        <v>2</v>
      </c>
      <c r="B5" s="4" t="s">
        <v>13</v>
      </c>
      <c r="C5" s="5">
        <v>1200</v>
      </c>
      <c r="E5" s="4"/>
      <c r="F5" s="5"/>
      <c r="G5" s="5"/>
      <c r="H5" s="6"/>
      <c r="I5" s="5"/>
    </row>
    <row r="6" spans="1:9" x14ac:dyDescent="0.25">
      <c r="E6" s="4"/>
      <c r="F6" s="5"/>
      <c r="G6" s="5"/>
      <c r="H6" s="6"/>
      <c r="I6" s="5"/>
    </row>
    <row r="7" spans="1:9" x14ac:dyDescent="0.25">
      <c r="E7" s="4"/>
      <c r="F7" s="5"/>
      <c r="G7" s="5"/>
      <c r="H7" s="6"/>
      <c r="I7" s="5"/>
    </row>
    <row r="8" spans="1:9" x14ac:dyDescent="0.25">
      <c r="E8" s="4"/>
      <c r="F8" s="34"/>
      <c r="G8" s="5"/>
      <c r="H8" s="6"/>
      <c r="I8" s="5"/>
    </row>
    <row r="9" spans="1:9" x14ac:dyDescent="0.25">
      <c r="E9" s="4"/>
      <c r="F9" s="34"/>
      <c r="G9" s="5"/>
      <c r="H9" s="6"/>
      <c r="I9" s="5"/>
    </row>
    <row r="10" spans="1:9" x14ac:dyDescent="0.25">
      <c r="E10" s="4"/>
      <c r="F10" s="34"/>
      <c r="G10" s="5"/>
      <c r="H10" s="6"/>
      <c r="I10" s="5"/>
    </row>
    <row r="11" spans="1:9" x14ac:dyDescent="0.25">
      <c r="E11" s="4"/>
      <c r="F11" s="34"/>
      <c r="G11" s="5"/>
      <c r="H11" s="6"/>
      <c r="I11" s="5"/>
    </row>
    <row r="12" spans="1:9" x14ac:dyDescent="0.25">
      <c r="E12" s="4"/>
      <c r="F12" s="34"/>
      <c r="G12" s="5"/>
      <c r="H12" s="6"/>
      <c r="I12" s="5"/>
    </row>
  </sheetData>
  <sortState ref="A2:C5">
    <sortCondition ref="A1"/>
  </sortState>
  <mergeCells count="1">
    <mergeCell ref="E1:I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1"/>
  <dimension ref="A1:I17"/>
  <sheetViews>
    <sheetView zoomScale="130" zoomScaleNormal="130" workbookViewId="0">
      <selection activeCell="E13" sqref="E13"/>
    </sheetView>
  </sheetViews>
  <sheetFormatPr defaultRowHeight="15" x14ac:dyDescent="0.25"/>
  <cols>
    <col min="1" max="1" width="21.85546875" bestFit="1" customWidth="1"/>
    <col min="2" max="3" width="15.28515625" bestFit="1" customWidth="1"/>
    <col min="6" max="6" width="12.7109375" bestFit="1" customWidth="1"/>
    <col min="7" max="7" width="11.140625" bestFit="1" customWidth="1"/>
    <col min="8" max="9" width="12.7109375" bestFit="1" customWidth="1"/>
  </cols>
  <sheetData>
    <row r="1" spans="1:9" ht="23.25" x14ac:dyDescent="0.35">
      <c r="A1" s="63" t="s">
        <v>22</v>
      </c>
      <c r="B1" s="63"/>
      <c r="C1" s="63"/>
      <c r="F1" s="2" t="s">
        <v>3</v>
      </c>
      <c r="G1" s="2" t="s">
        <v>5</v>
      </c>
      <c r="H1" s="2" t="s">
        <v>4</v>
      </c>
      <c r="I1" s="2" t="s">
        <v>2</v>
      </c>
    </row>
    <row r="2" spans="1:9" x14ac:dyDescent="0.25">
      <c r="A2" s="62"/>
      <c r="B2" s="62"/>
      <c r="C2" s="62"/>
      <c r="F2" s="2" t="s">
        <v>14</v>
      </c>
      <c r="G2" s="2" t="s">
        <v>14</v>
      </c>
      <c r="H2" s="2" t="s">
        <v>15</v>
      </c>
      <c r="I2" s="2" t="s">
        <v>13</v>
      </c>
    </row>
    <row r="3" spans="1:9" ht="15.75" x14ac:dyDescent="0.25">
      <c r="A3" s="13" t="s">
        <v>0</v>
      </c>
      <c r="B3" s="13" t="s">
        <v>16</v>
      </c>
      <c r="C3" s="14" t="s">
        <v>12</v>
      </c>
      <c r="F3" s="3">
        <v>2200</v>
      </c>
      <c r="G3" s="3">
        <v>900</v>
      </c>
      <c r="H3" s="3">
        <v>1400</v>
      </c>
      <c r="I3" s="3">
        <v>1200</v>
      </c>
    </row>
    <row r="4" spans="1:9" x14ac:dyDescent="0.25">
      <c r="A4" s="4" t="s">
        <v>4</v>
      </c>
      <c r="B4" s="5"/>
      <c r="C4" s="5"/>
    </row>
    <row r="5" spans="1:9" x14ac:dyDescent="0.25">
      <c r="A5" s="4" t="s">
        <v>2</v>
      </c>
      <c r="B5" s="5"/>
      <c r="C5" s="5"/>
    </row>
    <row r="6" spans="1:9" x14ac:dyDescent="0.25">
      <c r="A6" s="4" t="s">
        <v>4</v>
      </c>
      <c r="B6" s="5"/>
      <c r="C6" s="5"/>
    </row>
    <row r="7" spans="1:9" x14ac:dyDescent="0.25">
      <c r="A7" s="4" t="s">
        <v>5</v>
      </c>
      <c r="B7" s="5"/>
      <c r="C7" s="5"/>
    </row>
    <row r="8" spans="1:9" x14ac:dyDescent="0.25">
      <c r="A8" s="4" t="s">
        <v>4</v>
      </c>
      <c r="B8" s="5"/>
      <c r="C8" s="5"/>
    </row>
    <row r="9" spans="1:9" x14ac:dyDescent="0.25">
      <c r="A9" s="4" t="s">
        <v>2</v>
      </c>
      <c r="B9" s="5"/>
      <c r="C9" s="5"/>
    </row>
    <row r="10" spans="1:9" x14ac:dyDescent="0.25">
      <c r="A10" s="4" t="s">
        <v>4</v>
      </c>
      <c r="B10" s="5"/>
      <c r="C10" s="5"/>
    </row>
    <row r="11" spans="1:9" x14ac:dyDescent="0.25">
      <c r="A11" s="4" t="s">
        <v>2</v>
      </c>
      <c r="B11" s="5"/>
      <c r="C11" s="5"/>
    </row>
    <row r="12" spans="1:9" x14ac:dyDescent="0.25">
      <c r="A12" s="4" t="s">
        <v>4</v>
      </c>
      <c r="B12" s="5"/>
      <c r="C12" s="5"/>
    </row>
    <row r="13" spans="1:9" x14ac:dyDescent="0.25">
      <c r="A13" s="4" t="s">
        <v>5</v>
      </c>
      <c r="B13" s="5"/>
      <c r="C13" s="5"/>
    </row>
    <row r="14" spans="1:9" x14ac:dyDescent="0.25">
      <c r="A14" s="4" t="s">
        <v>4</v>
      </c>
      <c r="B14" s="5"/>
      <c r="C14" s="5"/>
    </row>
    <row r="15" spans="1:9" x14ac:dyDescent="0.25">
      <c r="A15" s="4" t="s">
        <v>2</v>
      </c>
      <c r="B15" s="5"/>
      <c r="C15" s="5"/>
    </row>
    <row r="16" spans="1:9" x14ac:dyDescent="0.25">
      <c r="A16" s="4" t="s">
        <v>4</v>
      </c>
      <c r="B16" s="5"/>
      <c r="C16" s="5"/>
    </row>
    <row r="17" spans="1:3" x14ac:dyDescent="0.25">
      <c r="A17" s="4" t="s">
        <v>2</v>
      </c>
      <c r="B17" s="5"/>
      <c r="C17" s="5"/>
    </row>
  </sheetData>
  <mergeCells count="2">
    <mergeCell ref="A1:C1"/>
    <mergeCell ref="A2:C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2"/>
  <dimension ref="A1:D5"/>
  <sheetViews>
    <sheetView zoomScale="190" zoomScaleNormal="190" workbookViewId="0">
      <selection activeCell="C8" sqref="C8"/>
    </sheetView>
  </sheetViews>
  <sheetFormatPr defaultRowHeight="15" x14ac:dyDescent="0.25"/>
  <cols>
    <col min="1" max="1" width="19.7109375" bestFit="1" customWidth="1"/>
    <col min="2" max="2" width="6.85546875" customWidth="1"/>
    <col min="3" max="3" width="11" bestFit="1" customWidth="1"/>
    <col min="4" max="4" width="10.85546875" style="1" bestFit="1" customWidth="1"/>
  </cols>
  <sheetData>
    <row r="1" spans="1:4" s="10" customFormat="1" ht="30" x14ac:dyDescent="0.25">
      <c r="A1" s="8" t="s">
        <v>0</v>
      </c>
      <c r="C1" s="8" t="s">
        <v>0</v>
      </c>
      <c r="D1" s="9" t="s">
        <v>37</v>
      </c>
    </row>
    <row r="2" spans="1:4" x14ac:dyDescent="0.25">
      <c r="A2" s="4" t="s">
        <v>3</v>
      </c>
      <c r="C2" s="4"/>
      <c r="D2" s="6"/>
    </row>
    <row r="3" spans="1:4" x14ac:dyDescent="0.25">
      <c r="A3" s="4" t="s">
        <v>5</v>
      </c>
      <c r="D3"/>
    </row>
    <row r="4" spans="1:4" x14ac:dyDescent="0.25">
      <c r="A4" s="4" t="s">
        <v>4</v>
      </c>
      <c r="D4"/>
    </row>
    <row r="5" spans="1:4" x14ac:dyDescent="0.25">
      <c r="A5" s="4" t="s">
        <v>2</v>
      </c>
      <c r="D5"/>
    </row>
  </sheetData>
  <sortState ref="A2:E5">
    <sortCondition ref="A1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13"/>
  <dimension ref="A1:H6"/>
  <sheetViews>
    <sheetView zoomScale="150" zoomScaleNormal="150" workbookViewId="0">
      <selection activeCell="D10" sqref="D10"/>
    </sheetView>
  </sheetViews>
  <sheetFormatPr defaultRowHeight="15" x14ac:dyDescent="0.25"/>
  <cols>
    <col min="1" max="1" width="11" bestFit="1" customWidth="1"/>
    <col min="2" max="2" width="6.28515625" bestFit="1" customWidth="1"/>
    <col min="3" max="3" width="12.140625" style="1" bestFit="1" customWidth="1"/>
    <col min="4" max="4" width="11.85546875" style="1" bestFit="1" customWidth="1"/>
    <col min="5" max="5" width="13.28515625" bestFit="1" customWidth="1"/>
    <col min="6" max="6" width="6.28515625" customWidth="1"/>
    <col min="7" max="7" width="6.42578125" bestFit="1" customWidth="1"/>
    <col min="8" max="8" width="10.140625" style="1" customWidth="1"/>
  </cols>
  <sheetData>
    <row r="1" spans="1:8" ht="23.25" x14ac:dyDescent="0.25">
      <c r="A1" s="71" t="s">
        <v>24</v>
      </c>
      <c r="B1" s="71"/>
      <c r="C1" s="71"/>
      <c r="D1" s="71"/>
      <c r="E1" s="71"/>
    </row>
    <row r="2" spans="1:8" s="10" customFormat="1" ht="30" x14ac:dyDescent="0.25">
      <c r="A2" s="8" t="s">
        <v>0</v>
      </c>
      <c r="B2" s="8" t="s">
        <v>12</v>
      </c>
      <c r="C2" s="9" t="s">
        <v>16</v>
      </c>
      <c r="D2" s="9" t="s">
        <v>1</v>
      </c>
      <c r="E2" s="8" t="s">
        <v>7</v>
      </c>
      <c r="G2" s="8" t="s">
        <v>38</v>
      </c>
      <c r="H2" s="9" t="s">
        <v>39</v>
      </c>
    </row>
    <row r="3" spans="1:8" x14ac:dyDescent="0.25">
      <c r="A3" s="4" t="s">
        <v>3</v>
      </c>
      <c r="B3" s="4" t="s">
        <v>14</v>
      </c>
      <c r="C3" s="5">
        <v>2200</v>
      </c>
      <c r="D3" s="6">
        <v>32</v>
      </c>
      <c r="E3" s="5">
        <f>C3*D3</f>
        <v>70400</v>
      </c>
      <c r="G3" s="4"/>
      <c r="H3" s="6"/>
    </row>
    <row r="4" spans="1:8" x14ac:dyDescent="0.25">
      <c r="A4" s="4" t="s">
        <v>5</v>
      </c>
      <c r="B4" s="4" t="s">
        <v>14</v>
      </c>
      <c r="C4" s="5">
        <v>900</v>
      </c>
      <c r="D4" s="6">
        <v>40</v>
      </c>
      <c r="E4" s="5">
        <f>C4*D4</f>
        <v>36000</v>
      </c>
      <c r="H4"/>
    </row>
    <row r="5" spans="1:8" x14ac:dyDescent="0.25">
      <c r="A5" s="4" t="s">
        <v>4</v>
      </c>
      <c r="B5" s="4" t="s">
        <v>15</v>
      </c>
      <c r="C5" s="5">
        <v>1400</v>
      </c>
      <c r="D5" s="6">
        <v>28</v>
      </c>
      <c r="E5" s="5">
        <f>C5*D5</f>
        <v>39200</v>
      </c>
      <c r="G5" s="2" t="s">
        <v>40</v>
      </c>
      <c r="H5" s="4"/>
    </row>
    <row r="6" spans="1:8" x14ac:dyDescent="0.25">
      <c r="A6" s="4" t="s">
        <v>2</v>
      </c>
      <c r="B6" s="4" t="s">
        <v>13</v>
      </c>
      <c r="C6" s="5">
        <v>1200</v>
      </c>
      <c r="D6" s="6">
        <v>10</v>
      </c>
      <c r="E6" s="5">
        <f>C6*D6</f>
        <v>12000</v>
      </c>
      <c r="H6"/>
    </row>
  </sheetData>
  <mergeCells count="1">
    <mergeCell ref="A1:E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14"/>
  <dimension ref="A1:H9"/>
  <sheetViews>
    <sheetView zoomScale="150" zoomScaleNormal="150" workbookViewId="0">
      <selection activeCell="G8" sqref="G8"/>
    </sheetView>
  </sheetViews>
  <sheetFormatPr defaultRowHeight="15" x14ac:dyDescent="0.25"/>
  <cols>
    <col min="1" max="1" width="13.5703125" customWidth="1"/>
    <col min="2" max="2" width="6.28515625" bestFit="1" customWidth="1"/>
    <col min="3" max="3" width="12.7109375" style="1" bestFit="1" customWidth="1"/>
    <col min="4" max="4" width="11.85546875" style="1" bestFit="1" customWidth="1"/>
    <col min="5" max="5" width="13.7109375" bestFit="1" customWidth="1"/>
    <col min="7" max="7" width="11" bestFit="1" customWidth="1"/>
    <col min="8" max="8" width="10.7109375" style="1" bestFit="1" customWidth="1"/>
  </cols>
  <sheetData>
    <row r="1" spans="1:8" ht="23.25" x14ac:dyDescent="0.25">
      <c r="A1" s="71" t="s">
        <v>24</v>
      </c>
      <c r="B1" s="71"/>
      <c r="C1" s="71"/>
      <c r="D1" s="71"/>
      <c r="E1" s="71"/>
    </row>
    <row r="2" spans="1:8" s="10" customFormat="1" ht="30" x14ac:dyDescent="0.25">
      <c r="A2" s="8" t="s">
        <v>0</v>
      </c>
      <c r="B2" s="8" t="s">
        <v>12</v>
      </c>
      <c r="C2" s="9" t="s">
        <v>16</v>
      </c>
      <c r="D2" s="9" t="s">
        <v>1</v>
      </c>
      <c r="E2" s="8" t="s">
        <v>7</v>
      </c>
      <c r="G2" s="8" t="s">
        <v>0</v>
      </c>
      <c r="H2" s="9" t="s">
        <v>41</v>
      </c>
    </row>
    <row r="3" spans="1:8" x14ac:dyDescent="0.25">
      <c r="A3" s="4" t="s">
        <v>3</v>
      </c>
      <c r="B3" s="4" t="s">
        <v>14</v>
      </c>
      <c r="C3" s="5">
        <v>2200</v>
      </c>
      <c r="D3" s="6">
        <v>32</v>
      </c>
      <c r="E3" s="5">
        <f>C3*D3</f>
        <v>70400</v>
      </c>
      <c r="G3" s="4"/>
      <c r="H3" s="6"/>
    </row>
    <row r="4" spans="1:8" x14ac:dyDescent="0.25">
      <c r="A4" s="4" t="s">
        <v>5</v>
      </c>
      <c r="B4" s="4" t="s">
        <v>14</v>
      </c>
      <c r="C4" s="5">
        <v>900</v>
      </c>
      <c r="D4" s="6">
        <v>40</v>
      </c>
      <c r="E4" s="5">
        <f>C4*D4</f>
        <v>36000</v>
      </c>
      <c r="H4"/>
    </row>
    <row r="5" spans="1:8" x14ac:dyDescent="0.25">
      <c r="A5" s="4" t="s">
        <v>4</v>
      </c>
      <c r="B5" s="4" t="s">
        <v>15</v>
      </c>
      <c r="C5" s="5">
        <v>1400</v>
      </c>
      <c r="D5" s="6">
        <v>28</v>
      </c>
      <c r="E5" s="5">
        <f>C5*D5</f>
        <v>39200</v>
      </c>
      <c r="H5"/>
    </row>
    <row r="6" spans="1:8" x14ac:dyDescent="0.25">
      <c r="A6" s="4" t="s">
        <v>2</v>
      </c>
      <c r="B6" s="4" t="s">
        <v>13</v>
      </c>
      <c r="C6" s="5">
        <v>1200</v>
      </c>
      <c r="D6" s="6">
        <v>10</v>
      </c>
      <c r="E6" s="5">
        <f>C6*D6</f>
        <v>12000</v>
      </c>
      <c r="H6"/>
    </row>
    <row r="7" spans="1:8" ht="15.75" thickBot="1" x14ac:dyDescent="0.3"/>
    <row r="8" spans="1:8" ht="30" x14ac:dyDescent="0.25">
      <c r="A8" s="35" t="s">
        <v>0</v>
      </c>
      <c r="B8" s="36" t="s">
        <v>12</v>
      </c>
      <c r="C8" s="37" t="s">
        <v>16</v>
      </c>
      <c r="D8" s="37" t="s">
        <v>1</v>
      </c>
      <c r="E8" s="38" t="s">
        <v>7</v>
      </c>
    </row>
    <row r="9" spans="1:8" ht="15.75" thickBot="1" x14ac:dyDescent="0.3">
      <c r="A9" s="39"/>
      <c r="B9" s="40"/>
      <c r="C9" s="41"/>
      <c r="D9" s="40"/>
      <c r="E9" s="42"/>
    </row>
  </sheetData>
  <mergeCells count="1">
    <mergeCell ref="A1:E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15"/>
  <dimension ref="A1:K11"/>
  <sheetViews>
    <sheetView zoomScale="150" zoomScaleNormal="150" workbookViewId="0">
      <selection activeCell="M13" sqref="M13"/>
    </sheetView>
  </sheetViews>
  <sheetFormatPr defaultRowHeight="15" x14ac:dyDescent="0.25"/>
  <cols>
    <col min="1" max="2" width="14" customWidth="1"/>
    <col min="3" max="3" width="3.5703125" customWidth="1"/>
    <col min="4" max="4" width="7.7109375" bestFit="1" customWidth="1"/>
    <col min="5" max="5" width="13.140625" style="1" customWidth="1"/>
    <col min="6" max="6" width="3.5703125" customWidth="1"/>
    <col min="7" max="7" width="13.85546875" customWidth="1"/>
    <col min="9" max="9" width="4.140625" customWidth="1"/>
  </cols>
  <sheetData>
    <row r="1" spans="1:11" s="10" customFormat="1" ht="30" x14ac:dyDescent="0.25">
      <c r="A1" s="8" t="s">
        <v>0</v>
      </c>
      <c r="B1" s="8" t="s">
        <v>48</v>
      </c>
      <c r="D1" s="8" t="s">
        <v>49</v>
      </c>
      <c r="E1" s="9" t="s">
        <v>50</v>
      </c>
      <c r="G1" s="53" t="s">
        <v>57</v>
      </c>
      <c r="H1" s="54"/>
      <c r="J1" s="4" t="s">
        <v>3</v>
      </c>
      <c r="K1" s="4">
        <v>1</v>
      </c>
    </row>
    <row r="2" spans="1:11" x14ac:dyDescent="0.25">
      <c r="A2" s="4" t="s">
        <v>3</v>
      </c>
      <c r="B2" s="4">
        <v>300</v>
      </c>
      <c r="D2" s="43"/>
      <c r="E2" s="6"/>
      <c r="J2" s="4" t="s">
        <v>5</v>
      </c>
      <c r="K2" s="4">
        <v>2</v>
      </c>
    </row>
    <row r="3" spans="1:11" x14ac:dyDescent="0.25">
      <c r="A3" s="4" t="s">
        <v>5</v>
      </c>
      <c r="B3" s="4">
        <v>240</v>
      </c>
      <c r="E3"/>
      <c r="J3" s="4" t="s">
        <v>4</v>
      </c>
      <c r="K3" s="4">
        <v>3</v>
      </c>
    </row>
    <row r="4" spans="1:11" x14ac:dyDescent="0.25">
      <c r="A4" s="4" t="s">
        <v>4</v>
      </c>
      <c r="B4" s="4">
        <v>200</v>
      </c>
      <c r="E4"/>
      <c r="J4" s="4" t="s">
        <v>2</v>
      </c>
      <c r="K4" s="4">
        <v>4</v>
      </c>
    </row>
    <row r="5" spans="1:11" x14ac:dyDescent="0.25">
      <c r="A5" s="4" t="s">
        <v>2</v>
      </c>
      <c r="B5" s="44">
        <v>199</v>
      </c>
      <c r="E5"/>
    </row>
    <row r="6" spans="1:11" x14ac:dyDescent="0.25">
      <c r="A6" s="4" t="s">
        <v>3</v>
      </c>
      <c r="B6" s="4">
        <v>300</v>
      </c>
    </row>
    <row r="7" spans="1:11" x14ac:dyDescent="0.25">
      <c r="A7" s="4" t="s">
        <v>5</v>
      </c>
      <c r="B7" s="4">
        <v>240</v>
      </c>
    </row>
    <row r="8" spans="1:11" x14ac:dyDescent="0.25">
      <c r="A8" s="4" t="s">
        <v>4</v>
      </c>
      <c r="B8" s="4">
        <v>200</v>
      </c>
    </row>
    <row r="9" spans="1:11" x14ac:dyDescent="0.25">
      <c r="A9" s="4" t="s">
        <v>2</v>
      </c>
      <c r="B9" s="44">
        <v>199</v>
      </c>
    </row>
    <row r="10" spans="1:11" x14ac:dyDescent="0.25">
      <c r="A10" s="4" t="s">
        <v>3</v>
      </c>
      <c r="B10" s="4">
        <v>300</v>
      </c>
    </row>
    <row r="11" spans="1:11" x14ac:dyDescent="0.25">
      <c r="A11" s="4" t="s">
        <v>5</v>
      </c>
      <c r="B11" s="4">
        <v>240</v>
      </c>
    </row>
  </sheetData>
  <dataValidations count="1">
    <dataValidation type="list" allowBlank="1" showInputMessage="1" showErrorMessage="1" sqref="D2" xr:uid="{00000000-0002-0000-0F00-000000000000}">
      <formula1>"1,2,3,4"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7"/>
  <dimension ref="A1:J11"/>
  <sheetViews>
    <sheetView zoomScale="140" zoomScaleNormal="140" workbookViewId="0">
      <selection activeCell="E9" sqref="E9"/>
    </sheetView>
  </sheetViews>
  <sheetFormatPr defaultRowHeight="15" x14ac:dyDescent="0.25"/>
  <cols>
    <col min="1" max="2" width="14" customWidth="1"/>
    <col min="3" max="3" width="4.85546875" customWidth="1"/>
    <col min="4" max="4" width="11" bestFit="1" customWidth="1"/>
    <col min="5" max="5" width="13.140625" style="1" customWidth="1"/>
    <col min="6" max="6" width="5" customWidth="1"/>
    <col min="7" max="7" width="12.42578125" customWidth="1"/>
    <col min="8" max="9" width="7" customWidth="1"/>
  </cols>
  <sheetData>
    <row r="1" spans="1:10" s="10" customFormat="1" ht="30" x14ac:dyDescent="0.25">
      <c r="A1" s="8" t="s">
        <v>0</v>
      </c>
      <c r="B1" s="8" t="s">
        <v>48</v>
      </c>
      <c r="D1" s="72" t="s">
        <v>54</v>
      </c>
      <c r="E1" s="72"/>
      <c r="F1" s="48"/>
      <c r="G1" s="49"/>
      <c r="J1" s="4" t="s">
        <v>3</v>
      </c>
    </row>
    <row r="2" spans="1:10" x14ac:dyDescent="0.25">
      <c r="A2" s="4" t="s">
        <v>3</v>
      </c>
      <c r="B2" s="4">
        <v>322</v>
      </c>
      <c r="D2" s="4"/>
      <c r="E2" s="34"/>
      <c r="J2" s="4" t="s">
        <v>5</v>
      </c>
    </row>
    <row r="3" spans="1:10" x14ac:dyDescent="0.25">
      <c r="A3" s="4" t="s">
        <v>5</v>
      </c>
      <c r="B3" s="4">
        <v>240</v>
      </c>
      <c r="E3"/>
      <c r="J3" s="4" t="s">
        <v>4</v>
      </c>
    </row>
    <row r="4" spans="1:10" x14ac:dyDescent="0.25">
      <c r="A4" s="4" t="s">
        <v>4</v>
      </c>
      <c r="B4" s="4">
        <v>200</v>
      </c>
      <c r="E4"/>
      <c r="J4" s="4" t="s">
        <v>2</v>
      </c>
    </row>
    <row r="5" spans="1:10" x14ac:dyDescent="0.25">
      <c r="A5" s="4" t="s">
        <v>2</v>
      </c>
      <c r="B5" s="44">
        <v>199</v>
      </c>
      <c r="E5"/>
    </row>
    <row r="6" spans="1:10" x14ac:dyDescent="0.25">
      <c r="A6" s="4" t="s">
        <v>3</v>
      </c>
      <c r="B6" s="4">
        <v>300</v>
      </c>
      <c r="E6"/>
    </row>
    <row r="7" spans="1:10" x14ac:dyDescent="0.25">
      <c r="A7" s="4" t="s">
        <v>5</v>
      </c>
      <c r="B7" s="4">
        <v>312</v>
      </c>
      <c r="E7"/>
    </row>
    <row r="8" spans="1:10" x14ac:dyDescent="0.25">
      <c r="A8" s="4" t="s">
        <v>4</v>
      </c>
      <c r="B8" s="4">
        <v>285</v>
      </c>
    </row>
    <row r="9" spans="1:10" x14ac:dyDescent="0.25">
      <c r="A9" s="4" t="s">
        <v>2</v>
      </c>
      <c r="B9" s="44">
        <v>215</v>
      </c>
    </row>
    <row r="10" spans="1:10" x14ac:dyDescent="0.25">
      <c r="A10" s="4" t="s">
        <v>3</v>
      </c>
      <c r="B10" s="4">
        <v>390</v>
      </c>
    </row>
    <row r="11" spans="1:10" x14ac:dyDescent="0.25">
      <c r="A11" s="4" t="s">
        <v>5</v>
      </c>
      <c r="B11" s="4">
        <v>255</v>
      </c>
    </row>
  </sheetData>
  <mergeCells count="1">
    <mergeCell ref="D1:E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18"/>
  <dimension ref="A1:J18"/>
  <sheetViews>
    <sheetView zoomScale="120" zoomScaleNormal="120" workbookViewId="0">
      <selection activeCell="F6" sqref="F6"/>
    </sheetView>
  </sheetViews>
  <sheetFormatPr defaultRowHeight="15" x14ac:dyDescent="0.25"/>
  <cols>
    <col min="1" max="1" width="13.5703125" bestFit="1" customWidth="1"/>
    <col min="2" max="2" width="10.85546875" bestFit="1" customWidth="1"/>
    <col min="3" max="3" width="10.42578125" customWidth="1"/>
    <col min="4" max="4" width="15.85546875" style="1" bestFit="1" customWidth="1"/>
    <col min="5" max="5" width="13.28515625" style="1" bestFit="1" customWidth="1"/>
    <col min="6" max="6" width="14.42578125" bestFit="1" customWidth="1"/>
    <col min="7" max="7" width="7" customWidth="1"/>
    <col min="8" max="9" width="15.5703125" customWidth="1"/>
    <col min="10" max="10" width="20.7109375" style="1" customWidth="1"/>
  </cols>
  <sheetData>
    <row r="1" spans="1:10" s="10" customFormat="1" ht="23.25" x14ac:dyDescent="0.25">
      <c r="A1" s="66" t="s">
        <v>23</v>
      </c>
      <c r="B1" s="66"/>
      <c r="C1" s="66"/>
      <c r="D1" s="66"/>
      <c r="E1" s="66"/>
      <c r="F1" s="66"/>
      <c r="H1" s="66" t="s">
        <v>29</v>
      </c>
      <c r="I1" s="66"/>
      <c r="J1" s="66"/>
    </row>
    <row r="2" spans="1:10" x14ac:dyDescent="0.25">
      <c r="A2" s="62"/>
      <c r="B2" s="62"/>
      <c r="C2" s="62"/>
      <c r="D2" s="62"/>
      <c r="E2" s="62"/>
      <c r="F2" s="62"/>
      <c r="H2" s="62"/>
      <c r="I2" s="62"/>
      <c r="J2" s="62"/>
    </row>
    <row r="3" spans="1:10" s="22" customFormat="1" ht="31.5" x14ac:dyDescent="0.25">
      <c r="A3" s="18" t="s">
        <v>0</v>
      </c>
      <c r="B3" s="18" t="s">
        <v>42</v>
      </c>
      <c r="C3" s="18" t="s">
        <v>12</v>
      </c>
      <c r="D3" s="19" t="s">
        <v>16</v>
      </c>
      <c r="E3" s="19" t="s">
        <v>1</v>
      </c>
      <c r="F3" s="18" t="s">
        <v>7</v>
      </c>
      <c r="H3" s="18" t="s">
        <v>0</v>
      </c>
      <c r="I3" s="18" t="s">
        <v>42</v>
      </c>
      <c r="J3" s="19" t="s">
        <v>43</v>
      </c>
    </row>
    <row r="4" spans="1:10" x14ac:dyDescent="0.25">
      <c r="A4" s="4" t="s">
        <v>2</v>
      </c>
      <c r="B4" s="4" t="s">
        <v>44</v>
      </c>
      <c r="C4" s="4" t="s">
        <v>13</v>
      </c>
      <c r="D4" s="5">
        <v>1200</v>
      </c>
      <c r="E4" s="6">
        <v>10</v>
      </c>
      <c r="F4" s="5">
        <f>D4*E4</f>
        <v>12000</v>
      </c>
      <c r="H4" s="4" t="s">
        <v>2</v>
      </c>
      <c r="I4" s="4" t="s">
        <v>44</v>
      </c>
      <c r="J4" s="5"/>
    </row>
    <row r="5" spans="1:10" x14ac:dyDescent="0.25">
      <c r="A5" s="4" t="s">
        <v>3</v>
      </c>
      <c r="B5" s="4" t="s">
        <v>45</v>
      </c>
      <c r="C5" s="4" t="s">
        <v>14</v>
      </c>
      <c r="D5" s="5">
        <v>2200</v>
      </c>
      <c r="E5" s="6">
        <v>32</v>
      </c>
      <c r="F5" s="5">
        <f t="shared" ref="F5:F12" si="0">D5*E5</f>
        <v>70400</v>
      </c>
      <c r="H5" s="4" t="s">
        <v>3</v>
      </c>
      <c r="I5" s="4" t="s">
        <v>44</v>
      </c>
      <c r="J5" s="5"/>
    </row>
    <row r="6" spans="1:10" x14ac:dyDescent="0.25">
      <c r="A6" s="4" t="s">
        <v>4</v>
      </c>
      <c r="B6" s="4" t="s">
        <v>46</v>
      </c>
      <c r="C6" s="4" t="s">
        <v>15</v>
      </c>
      <c r="D6" s="5">
        <v>1400</v>
      </c>
      <c r="E6" s="6">
        <v>28</v>
      </c>
      <c r="F6" s="5">
        <f t="shared" si="0"/>
        <v>39200</v>
      </c>
      <c r="H6" s="4" t="s">
        <v>4</v>
      </c>
      <c r="I6" s="4" t="s">
        <v>46</v>
      </c>
      <c r="J6" s="5"/>
    </row>
    <row r="7" spans="1:10" x14ac:dyDescent="0.25">
      <c r="A7" s="4" t="s">
        <v>5</v>
      </c>
      <c r="B7" s="4" t="s">
        <v>47</v>
      </c>
      <c r="C7" s="4" t="s">
        <v>14</v>
      </c>
      <c r="D7" s="5">
        <v>900</v>
      </c>
      <c r="E7" s="6">
        <v>40</v>
      </c>
      <c r="F7" s="5">
        <f t="shared" si="0"/>
        <v>36000</v>
      </c>
      <c r="H7" s="4" t="s">
        <v>5</v>
      </c>
      <c r="I7" s="4" t="s">
        <v>47</v>
      </c>
      <c r="J7" s="5"/>
    </row>
    <row r="8" spans="1:10" x14ac:dyDescent="0.25">
      <c r="A8" s="4" t="s">
        <v>2</v>
      </c>
      <c r="B8" s="4" t="s">
        <v>44</v>
      </c>
      <c r="C8" s="4" t="s">
        <v>13</v>
      </c>
      <c r="D8" s="5">
        <v>1200</v>
      </c>
      <c r="E8" s="6">
        <v>8</v>
      </c>
      <c r="F8" s="5">
        <f t="shared" si="0"/>
        <v>9600</v>
      </c>
      <c r="J8"/>
    </row>
    <row r="9" spans="1:10" x14ac:dyDescent="0.25">
      <c r="A9" s="4" t="s">
        <v>3</v>
      </c>
      <c r="B9" s="4" t="s">
        <v>47</v>
      </c>
      <c r="C9" s="4" t="s">
        <v>14</v>
      </c>
      <c r="D9" s="5">
        <v>2200</v>
      </c>
      <c r="E9" s="6">
        <v>40</v>
      </c>
      <c r="F9" s="5">
        <f t="shared" si="0"/>
        <v>88000</v>
      </c>
      <c r="J9"/>
    </row>
    <row r="10" spans="1:10" x14ac:dyDescent="0.25">
      <c r="A10" s="4" t="s">
        <v>4</v>
      </c>
      <c r="B10" s="4" t="s">
        <v>46</v>
      </c>
      <c r="C10" s="4" t="s">
        <v>15</v>
      </c>
      <c r="D10" s="5">
        <v>1400</v>
      </c>
      <c r="E10" s="6">
        <v>12</v>
      </c>
      <c r="F10" s="5">
        <f t="shared" si="0"/>
        <v>16800</v>
      </c>
      <c r="J10"/>
    </row>
    <row r="11" spans="1:10" x14ac:dyDescent="0.25">
      <c r="A11" s="4" t="s">
        <v>5</v>
      </c>
      <c r="B11" s="4" t="s">
        <v>47</v>
      </c>
      <c r="C11" s="4" t="s">
        <v>14</v>
      </c>
      <c r="D11" s="5">
        <v>900</v>
      </c>
      <c r="E11" s="6">
        <v>55</v>
      </c>
      <c r="F11" s="5">
        <f t="shared" si="0"/>
        <v>49500</v>
      </c>
      <c r="J11"/>
    </row>
    <row r="12" spans="1:10" x14ac:dyDescent="0.25">
      <c r="A12" s="4" t="s">
        <v>2</v>
      </c>
      <c r="B12" s="4" t="s">
        <v>45</v>
      </c>
      <c r="C12" s="4" t="s">
        <v>13</v>
      </c>
      <c r="D12" s="5">
        <v>1200</v>
      </c>
      <c r="E12" s="6">
        <v>26</v>
      </c>
      <c r="F12" s="5">
        <f t="shared" si="0"/>
        <v>31200</v>
      </c>
      <c r="J12"/>
    </row>
    <row r="13" spans="1:10" x14ac:dyDescent="0.25">
      <c r="F13" s="7"/>
    </row>
    <row r="15" spans="1:10" x14ac:dyDescent="0.25">
      <c r="A15" s="4" t="s">
        <v>44</v>
      </c>
    </row>
    <row r="16" spans="1:10" x14ac:dyDescent="0.25">
      <c r="A16" s="4" t="s">
        <v>45</v>
      </c>
    </row>
    <row r="17" spans="1:1" x14ac:dyDescent="0.25">
      <c r="A17" s="4" t="s">
        <v>46</v>
      </c>
    </row>
    <row r="18" spans="1:1" x14ac:dyDescent="0.25">
      <c r="A18" s="4" t="s">
        <v>47</v>
      </c>
    </row>
  </sheetData>
  <mergeCells count="4">
    <mergeCell ref="A1:F1"/>
    <mergeCell ref="H1:J1"/>
    <mergeCell ref="A2:F2"/>
    <mergeCell ref="H2:J2"/>
  </mergeCells>
  <dataValidations count="1">
    <dataValidation type="list" allowBlank="1" showInputMessage="1" showErrorMessage="1" sqref="I4:I7" xr:uid="{00000000-0002-0000-1100-000000000000}">
      <formula1>$A$15:$A$18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6C8D0-763E-4A95-9452-346F4E7E7E06}">
  <sheetPr codeName="Plan19"/>
  <dimension ref="A1:F35"/>
  <sheetViews>
    <sheetView zoomScale="80" zoomScaleNormal="80" workbookViewId="0">
      <selection activeCell="I22" sqref="I22"/>
    </sheetView>
  </sheetViews>
  <sheetFormatPr defaultColWidth="20.5703125" defaultRowHeight="15" x14ac:dyDescent="0.25"/>
  <cols>
    <col min="4" max="5" width="20.5703125" style="1"/>
  </cols>
  <sheetData>
    <row r="1" spans="1:6" s="58" customFormat="1" ht="37.5" x14ac:dyDescent="0.25">
      <c r="A1" s="15" t="s">
        <v>58</v>
      </c>
      <c r="B1" s="15" t="s">
        <v>42</v>
      </c>
      <c r="C1" s="15" t="s">
        <v>12</v>
      </c>
      <c r="D1" s="16" t="s">
        <v>16</v>
      </c>
      <c r="E1" s="16" t="s">
        <v>1</v>
      </c>
      <c r="F1" s="15" t="s">
        <v>7</v>
      </c>
    </row>
    <row r="2" spans="1:6" x14ac:dyDescent="0.25">
      <c r="A2" s="55" t="s">
        <v>2</v>
      </c>
      <c r="B2" s="55" t="s">
        <v>44</v>
      </c>
      <c r="C2" s="55" t="s">
        <v>13</v>
      </c>
      <c r="D2" s="56">
        <v>1200</v>
      </c>
      <c r="E2" s="57">
        <v>10</v>
      </c>
      <c r="F2" s="56">
        <f>D2*E2</f>
        <v>12000</v>
      </c>
    </row>
    <row r="3" spans="1:6" x14ac:dyDescent="0.25">
      <c r="A3" s="4" t="s">
        <v>3</v>
      </c>
      <c r="B3" s="4" t="s">
        <v>45</v>
      </c>
      <c r="C3" s="4" t="s">
        <v>14</v>
      </c>
      <c r="D3" s="5">
        <v>2200</v>
      </c>
      <c r="E3" s="6">
        <v>32</v>
      </c>
      <c r="F3" s="5">
        <f t="shared" ref="F3:F10" si="0">D3*E3</f>
        <v>70400</v>
      </c>
    </row>
    <row r="4" spans="1:6" x14ac:dyDescent="0.25">
      <c r="A4" s="4" t="s">
        <v>4</v>
      </c>
      <c r="B4" s="4" t="s">
        <v>46</v>
      </c>
      <c r="C4" s="4" t="s">
        <v>15</v>
      </c>
      <c r="D4" s="5">
        <v>1400</v>
      </c>
      <c r="E4" s="6">
        <v>28</v>
      </c>
      <c r="F4" s="5">
        <f t="shared" si="0"/>
        <v>39200</v>
      </c>
    </row>
    <row r="5" spans="1:6" x14ac:dyDescent="0.25">
      <c r="A5" s="4" t="s">
        <v>5</v>
      </c>
      <c r="B5" s="4" t="s">
        <v>47</v>
      </c>
      <c r="C5" s="4" t="s">
        <v>14</v>
      </c>
      <c r="D5" s="5">
        <v>900</v>
      </c>
      <c r="E5" s="6">
        <v>40</v>
      </c>
      <c r="F5" s="5">
        <f t="shared" si="0"/>
        <v>36000</v>
      </c>
    </row>
    <row r="6" spans="1:6" x14ac:dyDescent="0.25">
      <c r="A6" s="4" t="s">
        <v>2</v>
      </c>
      <c r="B6" s="4" t="s">
        <v>44</v>
      </c>
      <c r="C6" s="4" t="s">
        <v>13</v>
      </c>
      <c r="D6" s="5">
        <v>1200</v>
      </c>
      <c r="E6" s="6">
        <v>8</v>
      </c>
      <c r="F6" s="5">
        <f t="shared" si="0"/>
        <v>9600</v>
      </c>
    </row>
    <row r="7" spans="1:6" x14ac:dyDescent="0.25">
      <c r="A7" s="4" t="s">
        <v>3</v>
      </c>
      <c r="B7" s="4" t="s">
        <v>47</v>
      </c>
      <c r="C7" s="4" t="s">
        <v>14</v>
      </c>
      <c r="D7" s="5">
        <v>2200</v>
      </c>
      <c r="E7" s="6">
        <v>40</v>
      </c>
      <c r="F7" s="5">
        <f t="shared" si="0"/>
        <v>88000</v>
      </c>
    </row>
    <row r="8" spans="1:6" x14ac:dyDescent="0.25">
      <c r="A8" s="4" t="s">
        <v>4</v>
      </c>
      <c r="B8" s="4" t="s">
        <v>46</v>
      </c>
      <c r="C8" s="4" t="s">
        <v>15</v>
      </c>
      <c r="D8" s="5">
        <v>1400</v>
      </c>
      <c r="E8" s="6">
        <v>12</v>
      </c>
      <c r="F8" s="5">
        <f t="shared" si="0"/>
        <v>16800</v>
      </c>
    </row>
    <row r="9" spans="1:6" x14ac:dyDescent="0.25">
      <c r="A9" s="4" t="s">
        <v>5</v>
      </c>
      <c r="B9" s="4" t="s">
        <v>47</v>
      </c>
      <c r="C9" s="4" t="s">
        <v>14</v>
      </c>
      <c r="D9" s="5">
        <v>900</v>
      </c>
      <c r="E9" s="6">
        <v>55</v>
      </c>
      <c r="F9" s="5">
        <f t="shared" si="0"/>
        <v>49500</v>
      </c>
    </row>
    <row r="10" spans="1:6" x14ac:dyDescent="0.25">
      <c r="A10" s="4" t="s">
        <v>2</v>
      </c>
      <c r="B10" s="4" t="s">
        <v>45</v>
      </c>
      <c r="C10" s="4" t="s">
        <v>13</v>
      </c>
      <c r="D10" s="5">
        <v>1200</v>
      </c>
      <c r="E10" s="6">
        <v>26</v>
      </c>
      <c r="F10" s="5">
        <f t="shared" si="0"/>
        <v>31200</v>
      </c>
    </row>
    <row r="11" spans="1:6" x14ac:dyDescent="0.25">
      <c r="A11" s="4" t="s">
        <v>2</v>
      </c>
      <c r="B11" s="4" t="s">
        <v>44</v>
      </c>
      <c r="C11" s="4" t="s">
        <v>13</v>
      </c>
      <c r="D11" s="5">
        <v>1200</v>
      </c>
      <c r="E11" s="6">
        <v>10</v>
      </c>
      <c r="F11" s="5">
        <f>D11*E11</f>
        <v>12000</v>
      </c>
    </row>
    <row r="12" spans="1:6" x14ac:dyDescent="0.25">
      <c r="A12" s="4" t="s">
        <v>3</v>
      </c>
      <c r="B12" s="4" t="s">
        <v>45</v>
      </c>
      <c r="C12" s="4" t="s">
        <v>14</v>
      </c>
      <c r="D12" s="5">
        <v>2200</v>
      </c>
      <c r="E12" s="6">
        <v>32</v>
      </c>
      <c r="F12" s="5">
        <f t="shared" ref="F12:F19" si="1">D12*E12</f>
        <v>70400</v>
      </c>
    </row>
    <row r="13" spans="1:6" x14ac:dyDescent="0.25">
      <c r="A13" s="4" t="s">
        <v>4</v>
      </c>
      <c r="B13" s="4" t="s">
        <v>46</v>
      </c>
      <c r="C13" s="4" t="s">
        <v>15</v>
      </c>
      <c r="D13" s="5">
        <v>1400</v>
      </c>
      <c r="E13" s="6">
        <v>28</v>
      </c>
      <c r="F13" s="5">
        <f t="shared" si="1"/>
        <v>39200</v>
      </c>
    </row>
    <row r="14" spans="1:6" x14ac:dyDescent="0.25">
      <c r="A14" s="4" t="s">
        <v>5</v>
      </c>
      <c r="B14" s="4" t="s">
        <v>47</v>
      </c>
      <c r="C14" s="4" t="s">
        <v>14</v>
      </c>
      <c r="D14" s="5">
        <v>900</v>
      </c>
      <c r="E14" s="6">
        <v>40</v>
      </c>
      <c r="F14" s="5">
        <f t="shared" si="1"/>
        <v>36000</v>
      </c>
    </row>
    <row r="15" spans="1:6" x14ac:dyDescent="0.25">
      <c r="A15" s="4" t="s">
        <v>2</v>
      </c>
      <c r="B15" s="4" t="s">
        <v>44</v>
      </c>
      <c r="C15" s="4" t="s">
        <v>13</v>
      </c>
      <c r="D15" s="5">
        <v>1200</v>
      </c>
      <c r="E15" s="6">
        <v>8</v>
      </c>
      <c r="F15" s="5">
        <f t="shared" si="1"/>
        <v>9600</v>
      </c>
    </row>
    <row r="16" spans="1:6" x14ac:dyDescent="0.25">
      <c r="A16" s="4" t="s">
        <v>3</v>
      </c>
      <c r="B16" s="4" t="s">
        <v>47</v>
      </c>
      <c r="C16" s="4" t="s">
        <v>14</v>
      </c>
      <c r="D16" s="5">
        <v>2200</v>
      </c>
      <c r="E16" s="6">
        <v>40</v>
      </c>
      <c r="F16" s="5">
        <f t="shared" si="1"/>
        <v>88000</v>
      </c>
    </row>
    <row r="17" spans="1:6" x14ac:dyDescent="0.25">
      <c r="A17" s="4" t="s">
        <v>4</v>
      </c>
      <c r="B17" s="4" t="s">
        <v>46</v>
      </c>
      <c r="C17" s="4" t="s">
        <v>15</v>
      </c>
      <c r="D17" s="5">
        <v>1400</v>
      </c>
      <c r="E17" s="6">
        <v>12</v>
      </c>
      <c r="F17" s="5">
        <f t="shared" si="1"/>
        <v>16800</v>
      </c>
    </row>
    <row r="18" spans="1:6" x14ac:dyDescent="0.25">
      <c r="A18" s="4" t="s">
        <v>5</v>
      </c>
      <c r="B18" s="4" t="s">
        <v>47</v>
      </c>
      <c r="C18" s="4" t="s">
        <v>14</v>
      </c>
      <c r="D18" s="5">
        <v>900</v>
      </c>
      <c r="E18" s="6">
        <v>55</v>
      </c>
      <c r="F18" s="5">
        <f t="shared" si="1"/>
        <v>49500</v>
      </c>
    </row>
    <row r="19" spans="1:6" x14ac:dyDescent="0.25">
      <c r="A19" s="4" t="s">
        <v>2</v>
      </c>
      <c r="B19" s="4" t="s">
        <v>45</v>
      </c>
      <c r="C19" s="4" t="s">
        <v>13</v>
      </c>
      <c r="D19" s="5">
        <v>1200</v>
      </c>
      <c r="E19" s="6">
        <v>26</v>
      </c>
      <c r="F19" s="5">
        <f t="shared" si="1"/>
        <v>31200</v>
      </c>
    </row>
    <row r="20" spans="1:6" x14ac:dyDescent="0.25">
      <c r="A20" s="4" t="s">
        <v>2</v>
      </c>
      <c r="B20" s="4" t="s">
        <v>44</v>
      </c>
      <c r="C20" s="4" t="s">
        <v>13</v>
      </c>
      <c r="D20" s="5">
        <v>1200</v>
      </c>
      <c r="E20" s="6">
        <v>10</v>
      </c>
      <c r="F20" s="5">
        <f>D20*E20</f>
        <v>12000</v>
      </c>
    </row>
    <row r="21" spans="1:6" x14ac:dyDescent="0.25">
      <c r="A21" s="4" t="s">
        <v>3</v>
      </c>
      <c r="B21" s="4" t="s">
        <v>45</v>
      </c>
      <c r="C21" s="4" t="s">
        <v>14</v>
      </c>
      <c r="D21" s="5">
        <v>2200</v>
      </c>
      <c r="E21" s="6">
        <v>32</v>
      </c>
      <c r="F21" s="5">
        <f t="shared" ref="F21:F28" si="2">D21*E21</f>
        <v>70400</v>
      </c>
    </row>
    <row r="22" spans="1:6" x14ac:dyDescent="0.25">
      <c r="A22" s="4" t="s">
        <v>4</v>
      </c>
      <c r="B22" s="4" t="s">
        <v>46</v>
      </c>
      <c r="C22" s="4" t="s">
        <v>15</v>
      </c>
      <c r="D22" s="5">
        <v>1400</v>
      </c>
      <c r="E22" s="6">
        <v>28</v>
      </c>
      <c r="F22" s="5">
        <f t="shared" si="2"/>
        <v>39200</v>
      </c>
    </row>
    <row r="23" spans="1:6" x14ac:dyDescent="0.25">
      <c r="A23" s="4" t="s">
        <v>5</v>
      </c>
      <c r="B23" s="4" t="s">
        <v>47</v>
      </c>
      <c r="C23" s="4" t="s">
        <v>14</v>
      </c>
      <c r="D23" s="5">
        <v>900</v>
      </c>
      <c r="E23" s="6">
        <v>40</v>
      </c>
      <c r="F23" s="5">
        <f t="shared" si="2"/>
        <v>36000</v>
      </c>
    </row>
    <row r="24" spans="1:6" x14ac:dyDescent="0.25">
      <c r="A24" s="4" t="s">
        <v>2</v>
      </c>
      <c r="B24" s="4" t="s">
        <v>44</v>
      </c>
      <c r="C24" s="4" t="s">
        <v>13</v>
      </c>
      <c r="D24" s="5">
        <v>1200</v>
      </c>
      <c r="E24" s="6">
        <v>8</v>
      </c>
      <c r="F24" s="5">
        <f t="shared" si="2"/>
        <v>9600</v>
      </c>
    </row>
    <row r="25" spans="1:6" x14ac:dyDescent="0.25">
      <c r="A25" s="4" t="s">
        <v>3</v>
      </c>
      <c r="B25" s="4" t="s">
        <v>47</v>
      </c>
      <c r="C25" s="4" t="s">
        <v>14</v>
      </c>
      <c r="D25" s="5">
        <v>2200</v>
      </c>
      <c r="E25" s="6">
        <v>40</v>
      </c>
      <c r="F25" s="5">
        <f t="shared" si="2"/>
        <v>88000</v>
      </c>
    </row>
    <row r="26" spans="1:6" x14ac:dyDescent="0.25">
      <c r="A26" s="4" t="s">
        <v>4</v>
      </c>
      <c r="B26" s="4" t="s">
        <v>46</v>
      </c>
      <c r="C26" s="4" t="s">
        <v>15</v>
      </c>
      <c r="D26" s="5">
        <v>1400</v>
      </c>
      <c r="E26" s="6">
        <v>12</v>
      </c>
      <c r="F26" s="5">
        <f t="shared" si="2"/>
        <v>16800</v>
      </c>
    </row>
    <row r="27" spans="1:6" x14ac:dyDescent="0.25">
      <c r="A27" s="4" t="s">
        <v>5</v>
      </c>
      <c r="B27" s="4" t="s">
        <v>47</v>
      </c>
      <c r="C27" s="4" t="s">
        <v>14</v>
      </c>
      <c r="D27" s="5">
        <v>900</v>
      </c>
      <c r="E27" s="6">
        <v>55</v>
      </c>
      <c r="F27" s="5">
        <f t="shared" si="2"/>
        <v>49500</v>
      </c>
    </row>
    <row r="28" spans="1:6" x14ac:dyDescent="0.25">
      <c r="A28" s="4" t="s">
        <v>2</v>
      </c>
      <c r="B28" s="4" t="s">
        <v>45</v>
      </c>
      <c r="C28" s="4" t="s">
        <v>13</v>
      </c>
      <c r="D28" s="5">
        <v>1200</v>
      </c>
      <c r="E28" s="6">
        <v>26</v>
      </c>
      <c r="F28" s="5">
        <f t="shared" si="2"/>
        <v>31200</v>
      </c>
    </row>
    <row r="29" spans="1:6" x14ac:dyDescent="0.25">
      <c r="A29" s="4" t="s">
        <v>2</v>
      </c>
      <c r="B29" s="4" t="s">
        <v>44</v>
      </c>
      <c r="C29" s="4" t="s">
        <v>13</v>
      </c>
      <c r="D29" s="5">
        <v>1200</v>
      </c>
      <c r="E29" s="6">
        <v>10</v>
      </c>
      <c r="F29" s="5">
        <f>D29*E29</f>
        <v>12000</v>
      </c>
    </row>
    <row r="30" spans="1:6" x14ac:dyDescent="0.25">
      <c r="A30" s="4" t="s">
        <v>3</v>
      </c>
      <c r="B30" s="4" t="s">
        <v>45</v>
      </c>
      <c r="C30" s="4" t="s">
        <v>14</v>
      </c>
      <c r="D30" s="5">
        <v>2200</v>
      </c>
      <c r="E30" s="6">
        <v>32</v>
      </c>
      <c r="F30" s="5">
        <f t="shared" ref="F30:F35" si="3">D30*E30</f>
        <v>70400</v>
      </c>
    </row>
    <row r="31" spans="1:6" x14ac:dyDescent="0.25">
      <c r="A31" s="4" t="s">
        <v>4</v>
      </c>
      <c r="B31" s="4" t="s">
        <v>46</v>
      </c>
      <c r="C31" s="4" t="s">
        <v>15</v>
      </c>
      <c r="D31" s="5">
        <v>1400</v>
      </c>
      <c r="E31" s="6">
        <v>28</v>
      </c>
      <c r="F31" s="5">
        <f t="shared" si="3"/>
        <v>39200</v>
      </c>
    </row>
    <row r="32" spans="1:6" x14ac:dyDescent="0.25">
      <c r="A32" s="4" t="s">
        <v>5</v>
      </c>
      <c r="B32" s="4" t="s">
        <v>47</v>
      </c>
      <c r="C32" s="4" t="s">
        <v>14</v>
      </c>
      <c r="D32" s="5">
        <v>900</v>
      </c>
      <c r="E32" s="6">
        <v>40</v>
      </c>
      <c r="F32" s="5">
        <f t="shared" si="3"/>
        <v>36000</v>
      </c>
    </row>
    <row r="33" spans="1:6" x14ac:dyDescent="0.25">
      <c r="A33" s="4" t="s">
        <v>2</v>
      </c>
      <c r="B33" s="4" t="s">
        <v>44</v>
      </c>
      <c r="C33" s="4" t="s">
        <v>13</v>
      </c>
      <c r="D33" s="5">
        <v>1200</v>
      </c>
      <c r="E33" s="6">
        <v>8</v>
      </c>
      <c r="F33" s="5">
        <f t="shared" si="3"/>
        <v>9600</v>
      </c>
    </row>
    <row r="34" spans="1:6" x14ac:dyDescent="0.25">
      <c r="A34" s="4" t="s">
        <v>3</v>
      </c>
      <c r="B34" s="4" t="s">
        <v>47</v>
      </c>
      <c r="C34" s="4" t="s">
        <v>14</v>
      </c>
      <c r="D34" s="5">
        <v>2200</v>
      </c>
      <c r="E34" s="6">
        <v>40</v>
      </c>
      <c r="F34" s="5">
        <f t="shared" si="3"/>
        <v>88000</v>
      </c>
    </row>
    <row r="35" spans="1:6" x14ac:dyDescent="0.25">
      <c r="A35" s="4" t="s">
        <v>4</v>
      </c>
      <c r="B35" s="4" t="s">
        <v>46</v>
      </c>
      <c r="C35" s="4" t="s">
        <v>15</v>
      </c>
      <c r="D35" s="5">
        <v>1400</v>
      </c>
      <c r="E35" s="6">
        <v>12</v>
      </c>
      <c r="F35" s="5">
        <f t="shared" si="3"/>
        <v>16800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BF8F20DACDC524AA97E5D5AD11D1010" ma:contentTypeVersion="29" ma:contentTypeDescription="Crie um novo documento." ma:contentTypeScope="" ma:versionID="b83774272e9ba4b927e399a105d46c31">
  <xsd:schema xmlns:xsd="http://www.w3.org/2001/XMLSchema" xmlns:xs="http://www.w3.org/2001/XMLSchema" xmlns:p="http://schemas.microsoft.com/office/2006/metadata/properties" xmlns:ns2="945e57da-c50d-42e8-ab32-7d1106145708" xmlns:ns3="7be03918-918d-43f2-ab06-80e39ef12aa1" targetNamespace="http://schemas.microsoft.com/office/2006/metadata/properties" ma:root="true" ma:fieldsID="f7ad26407b4a91cfd09dd2669665acac" ns2:_="" ns3:_="">
    <xsd:import namespace="945e57da-c50d-42e8-ab32-7d1106145708"/>
    <xsd:import namespace="7be03918-918d-43f2-ab06-80e39ef12aa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GD" minOccurs="0"/>
                <xsd:element ref="ns2:_x00c1_rea" minOccurs="0"/>
                <xsd:element ref="ns2:Sub_x00e1_rea" minOccurs="0"/>
                <xsd:element ref="ns2:Curso"/>
                <xsd:element ref="ns2:UnidadeCurricular" minOccurs="0"/>
                <xsd:element ref="ns2:Elemento_x002b_Recorte" minOccurs="0"/>
                <xsd:element ref="ns2:OutrosCursos" minOccurs="0"/>
                <xsd:element ref="ns2:Modalidade" minOccurs="0"/>
                <xsd:element ref="ns2:TipoRecurso" minOccurs="0"/>
                <xsd:element ref="ns2:Responsivo" minOccurs="0"/>
                <xsd:element ref="ns2:AutordoRecurso" minOccurs="0"/>
                <xsd:element ref="ns2:Restri_x00e7__x00f5_esdeUso" minOccurs="0"/>
                <xsd:element ref="ns2:Temas" minOccurs="0"/>
                <xsd:element ref="ns2:PalavrasChave" minOccurs="0"/>
                <xsd:element ref="ns2:Descri_x00e7__x00e3_oGeral" minOccurs="0"/>
                <xsd:element ref="ns2:Pago" minOccurs="0"/>
                <xsd:element ref="ns2:Situa_x00e7__x00e3_odeAprendizagem_x002f_Estrat_x00e9_gia_x002f_Pr_x00e1_ticaRelacionad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45e57da-c50d-42e8-ab32-7d11061457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GD" ma:index="15" nillable="true" ma:displayName="GD" ma:default="GD2" ma:format="Dropdown" ma:internalName="GD">
      <xsd:simpleType>
        <xsd:restriction base="dms:Text">
          <xsd:maxLength value="255"/>
        </xsd:restriction>
      </xsd:simpleType>
    </xsd:element>
    <xsd:element name="_x00c1_rea" ma:index="16" nillable="true" ma:displayName="Área" ma:default="Tecnologia e Informação" ma:format="Dropdown" ma:internalName="_x00c1_rea">
      <xsd:simpleType>
        <xsd:restriction base="dms:Text">
          <xsd:maxLength value="255"/>
        </xsd:restriction>
      </xsd:simpleType>
    </xsd:element>
    <xsd:element name="Sub_x00e1_rea" ma:index="17" nillable="true" ma:displayName="Subárea" ma:default="Gestão em TI e Desenvolvimento de Sistemas" ma:format="Dropdown" ma:internalName="Sub_x00e1_rea">
      <xsd:simpleType>
        <xsd:restriction base="dms:Text">
          <xsd:maxLength value="255"/>
        </xsd:restriction>
      </xsd:simpleType>
    </xsd:element>
    <xsd:element name="Curso" ma:index="18" ma:displayName="Curso" ma:format="Dropdown" ma:internalName="Curso">
      <xsd:simpleType>
        <xsd:restriction base="dms:Text">
          <xsd:maxLength value="255"/>
        </xsd:restriction>
      </xsd:simpleType>
    </xsd:element>
    <xsd:element name="UnidadeCurricular" ma:index="19" nillable="true" ma:displayName="Unidade Curricular" ma:format="Dropdown" ma:internalName="UnidadeCurricular">
      <xsd:simpleType>
        <xsd:restriction base="dms:Choice">
          <xsd:enumeration value="UC1"/>
          <xsd:enumeration value="UC2"/>
          <xsd:enumeration value="UC3"/>
          <xsd:enumeration value="UC4"/>
          <xsd:enumeration value="UC5"/>
          <xsd:enumeration value="UC6"/>
          <xsd:enumeration value="UC7"/>
          <xsd:enumeration value="UC8"/>
          <xsd:enumeration value="UC9"/>
          <xsd:enumeration value="UC10"/>
          <xsd:enumeration value="UC11"/>
          <xsd:enumeration value="UC12"/>
          <xsd:enumeration value="Transversal"/>
          <xsd:enumeration value="Geral"/>
          <xsd:enumeration value="Não se aplica"/>
        </xsd:restriction>
      </xsd:simpleType>
    </xsd:element>
    <xsd:element name="Elemento_x002b_Recorte" ma:index="20" nillable="true" ma:displayName="Elemento + Recorte" ma:description="Caso esteja especificamente relacionada ao curso." ma:format="Dropdown" ma:internalName="Elemento_x002b_Recorte">
      <xsd:simpleType>
        <xsd:restriction base="dms:Note">
          <xsd:maxLength value="255"/>
        </xsd:restriction>
      </xsd:simpleType>
    </xsd:element>
    <xsd:element name="OutrosCursos" ma:index="21" nillable="true" ma:displayName="Outros Cursos" ma:description="Outros cursos que podem se interessar pelo recurso." ma:format="Dropdown" ma:internalName="OutrosCursos">
      <xsd:simpleType>
        <xsd:restriction base="dms:Note">
          <xsd:maxLength value="255"/>
        </xsd:restriction>
      </xsd:simpleType>
    </xsd:element>
    <xsd:element name="Modalidade" ma:index="22" nillable="true" ma:displayName="Modalidade" ma:default="Habilitação Profissional Técnica De Nível Médio" ma:format="Dropdown" ma:internalName="Modalidade">
      <xsd:simpleType>
        <xsd:restriction base="dms:Text">
          <xsd:maxLength value="255"/>
        </xsd:restriction>
      </xsd:simpleType>
    </xsd:element>
    <xsd:element name="TipoRecurso" ma:index="23" nillable="true" ma:displayName="Tipo Recurso" ma:format="Dropdown" ma:internalName="TipoRecurso">
      <xsd:simpleType>
        <xsd:restriction base="dms:Choice">
          <xsd:enumeration value="Textos"/>
          <xsd:enumeration value="Imagens"/>
          <xsd:enumeration value="Vídeos"/>
          <xsd:enumeration value="Áudios"/>
          <xsd:enumeration value="Páginas web"/>
          <xsd:enumeration value="Capítulos"/>
          <xsd:enumeration value="Livros"/>
          <xsd:enumeration value="Artigos"/>
          <xsd:enumeration value="Slides"/>
          <xsd:enumeration value="Apostilas"/>
          <xsd:enumeration value="Tutoriais"/>
          <xsd:enumeration value="Animações"/>
          <xsd:enumeration value="Infográficos"/>
          <xsd:enumeration value="Jogos"/>
          <xsd:enumeration value="Outros"/>
        </xsd:restriction>
      </xsd:simpleType>
    </xsd:element>
    <xsd:element name="Responsivo" ma:index="24" nillable="true" ma:displayName="Responsivo" ma:description="Se o recurso roda em diferentes plataformas" ma:format="Dropdown" ma:internalName="Responsivo">
      <xsd:simpleType>
        <xsd:restriction base="dms:Choice">
          <xsd:enumeration value="Sim"/>
          <xsd:enumeration value="Não"/>
        </xsd:restriction>
      </xsd:simpleType>
    </xsd:element>
    <xsd:element name="AutordoRecurso" ma:index="25" nillable="true" ma:displayName="Autor do Recurso" ma:format="Dropdown" ma:internalName="AutordoRecurso">
      <xsd:simpleType>
        <xsd:restriction base="dms:Text">
          <xsd:maxLength value="255"/>
        </xsd:restriction>
      </xsd:simpleType>
    </xsd:element>
    <xsd:element name="Restri_x00e7__x00f5_esdeUso" ma:index="26" nillable="true" ma:displayName="Restrições de Uso" ma:format="Dropdown" ma:internalName="Restri_x00e7__x00f5_esdeUso">
      <xsd:simpleType>
        <xsd:restriction base="dms:Note">
          <xsd:maxLength value="255"/>
        </xsd:restriction>
      </xsd:simpleType>
    </xsd:element>
    <xsd:element name="Temas" ma:index="27" nillable="true" ma:displayName="Temas" ma:format="Dropdown" ma:internalName="Temas">
      <xsd:simpleType>
        <xsd:restriction base="dms:Text">
          <xsd:maxLength value="255"/>
        </xsd:restriction>
      </xsd:simpleType>
    </xsd:element>
    <xsd:element name="PalavrasChave" ma:index="28" nillable="true" ma:displayName="Palavras Chave" ma:description="Inserir, no mínimo, duas palavras." ma:format="Dropdown" ma:internalName="PalavrasChave">
      <xsd:simpleType>
        <xsd:restriction base="dms:Text">
          <xsd:maxLength value="255"/>
        </xsd:restriction>
      </xsd:simpleType>
    </xsd:element>
    <xsd:element name="Descri_x00e7__x00e3_oGeral" ma:index="29" nillable="true" ma:displayName="Descrição Geral" ma:format="Dropdown" ma:internalName="Descri_x00e7__x00e3_oGeral">
      <xsd:simpleType>
        <xsd:restriction base="dms:Note">
          <xsd:maxLength value="255"/>
        </xsd:restriction>
      </xsd:simpleType>
    </xsd:element>
    <xsd:element name="Pago" ma:index="30" nillable="true" ma:displayName="Pago" ma:format="Dropdown" ma:internalName="Pago">
      <xsd:simpleType>
        <xsd:restriction base="dms:Choice">
          <xsd:enumeration value="Sim"/>
          <xsd:enumeration value="Não"/>
        </xsd:restriction>
      </xsd:simpleType>
    </xsd:element>
    <xsd:element name="Situa_x00e7__x00e3_odeAprendizagem_x002f_Estrat_x00e9_gia_x002f_Pr_x00e1_ticaRelacionada" ma:index="31" nillable="true" ma:displayName="Situação de Aprendizagem / Estratégia / Prática Relacionada" ma:format="Dropdown" ma:internalName="Situa_x00e7__x00e3_odeAprendizagem_x002f_Estrat_x00e9_gia_x002f_Pr_x00e1_ticaRelacionada">
      <xsd:simpleType>
        <xsd:restriction base="dms:Note">
          <xsd:maxLength value="255"/>
        </xsd:restriction>
      </xsd:simpleType>
    </xsd:element>
    <xsd:element name="MediaServiceAutoKeyPoints" ma:index="3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3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be03918-918d-43f2-ab06-80e39ef12aa1" elementFormDefault="qualified">
    <xsd:import namespace="http://schemas.microsoft.com/office/2006/documentManagement/types"/>
    <xsd:import namespace="http://schemas.microsoft.com/office/infopath/2007/PartnerControls"/>
    <xsd:element name="SharedWithUsers" ma:index="34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35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escri_x00e7__x00e3_oGeral xmlns="945e57da-c50d-42e8-ab32-7d1106145708" xsi:nil="true"/>
    <Responsivo xmlns="945e57da-c50d-42e8-ab32-7d1106145708">true</Responsivo>
    <Pago xmlns="945e57da-c50d-42e8-ab32-7d1106145708">true</Pago>
    <Curso xmlns="945e57da-c50d-42e8-ab32-7d1106145708"/>
    <OutrosCursos xmlns="945e57da-c50d-42e8-ab32-7d1106145708" xsi:nil="true"/>
    <GD xmlns="945e57da-c50d-42e8-ab32-7d1106145708">GD2</GD>
    <Sub_x00e1_rea xmlns="945e57da-c50d-42e8-ab32-7d1106145708">Gestão em TI e Desenvolvimento de Sistemas</Sub_x00e1_rea>
    <PalavrasChave xmlns="945e57da-c50d-42e8-ab32-7d1106145708" xsi:nil="true"/>
    <Situa_x00e7__x00e3_odeAprendizagem_x002f_Estrat_x00e9_gia_x002f_Pr_x00e1_ticaRelacionada xmlns="945e57da-c50d-42e8-ab32-7d1106145708" xsi:nil="true"/>
    <UnidadeCurricular xmlns="945e57da-c50d-42e8-ab32-7d1106145708" xsi:nil="true"/>
    <TipoRecurso xmlns="945e57da-c50d-42e8-ab32-7d1106145708" xsi:nil="true"/>
    <Modalidade xmlns="945e57da-c50d-42e8-ab32-7d1106145708">Habilitação Profissional Técnica De Nível Médio</Modalidade>
    <Temas xmlns="945e57da-c50d-42e8-ab32-7d1106145708" xsi:nil="true"/>
    <Restri_x00e7__x00f5_esdeUso xmlns="945e57da-c50d-42e8-ab32-7d1106145708" xsi:nil="true"/>
    <Elemento_x002b_Recorte xmlns="945e57da-c50d-42e8-ab32-7d1106145708" xsi:nil="true"/>
    <_x00c1_rea xmlns="945e57da-c50d-42e8-ab32-7d1106145708">Tecnologia e Informação</_x00c1_rea>
    <AutordoRecurso xmlns="945e57da-c50d-42e8-ab32-7d1106145708" xsi:nil="true"/>
  </documentManagement>
</p:properties>
</file>

<file path=customXml/itemProps1.xml><?xml version="1.0" encoding="utf-8"?>
<ds:datastoreItem xmlns:ds="http://schemas.openxmlformats.org/officeDocument/2006/customXml" ds:itemID="{9FBB9861-413B-4C73-823A-D617FDD43A87}"/>
</file>

<file path=customXml/itemProps2.xml><?xml version="1.0" encoding="utf-8"?>
<ds:datastoreItem xmlns:ds="http://schemas.openxmlformats.org/officeDocument/2006/customXml" ds:itemID="{1C654D18-FBB1-4B7C-98E4-8BD8EBD899E2}"/>
</file>

<file path=customXml/itemProps3.xml><?xml version="1.0" encoding="utf-8"?>
<ds:datastoreItem xmlns:ds="http://schemas.openxmlformats.org/officeDocument/2006/customXml" ds:itemID="{9AF29121-B195-478A-A759-16ADFC3F97C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19</vt:i4>
      </vt:variant>
    </vt:vector>
  </HeadingPairs>
  <TitlesOfParts>
    <vt:vector size="19" baseType="lpstr">
      <vt:lpstr>Média</vt:lpstr>
      <vt:lpstr>Reajuste</vt:lpstr>
      <vt:lpstr>Nome Lista</vt:lpstr>
      <vt:lpstr>Validação</vt:lpstr>
      <vt:lpstr>Rept</vt:lpstr>
      <vt:lpstr>SE</vt:lpstr>
      <vt:lpstr>SE_Controle</vt:lpstr>
      <vt:lpstr>SomaSE</vt:lpstr>
      <vt:lpstr>SomaSES</vt:lpstr>
      <vt:lpstr>SEERRO</vt:lpstr>
      <vt:lpstr>Procv</vt:lpstr>
      <vt:lpstr>Proch</vt:lpstr>
      <vt:lpstr>Corresp</vt:lpstr>
      <vt:lpstr>Indice</vt:lpstr>
      <vt:lpstr>Indice 1</vt:lpstr>
      <vt:lpstr>Escolher</vt:lpstr>
      <vt:lpstr>MédiaSE</vt:lpstr>
      <vt:lpstr>MédiaSES</vt:lpstr>
      <vt:lpstr>Dados_Tab_Dinâmica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Ceci</dc:creator>
  <cp:lastModifiedBy>User</cp:lastModifiedBy>
  <dcterms:created xsi:type="dcterms:W3CDTF">2015-02-14T17:36:10Z</dcterms:created>
  <dcterms:modified xsi:type="dcterms:W3CDTF">2019-05-21T16:50:32Z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0x0101009BF8F20DACDC524AA97E5D5AD11D1010</vt:lpwstr>
  </property>
</Properties>
</file>