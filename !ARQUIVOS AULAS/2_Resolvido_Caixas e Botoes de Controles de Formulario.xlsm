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worksheets/sheet1.xml" ContentType="application/vnd.openxmlformats-officedocument.spreadsheetml.worksheet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theme/theme1.xml" ContentType="application/vnd.openxmlformats-officedocument.theme+xml"/>
  <Override PartName="/xl/drawings/drawing1.xml" ContentType="application/vnd.openxmlformats-officedocument.drawing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sharedStrings.xml" ContentType="application/vnd.openxmlformats-officedocument.spreadsheetml.sharedStrings+xml"/>
  <Override PartName="/xl/worksheets/sheet13.xml" ContentType="application/vnd.openxmlformats-officedocument.spreadsheetml.worksheet+xml"/>
  <Override PartName="/xl/worksheets/sheet1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externalLinks/externalLink1.xml" ContentType="application/vnd.openxmlformats-officedocument.spreadsheetml.externalLink+xml"/>
  <Override PartName="/xl/pivotCache/pivotCacheRecords1.xml" ContentType="application/vnd.openxmlformats-officedocument.spreadsheetml.pivotCacheRecords+xml"/>
  <Override PartName="/xl/ctrlProps/ctrlProp2.xml" ContentType="application/vnd.ms-excel.contro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ser\Desktop\Arquivos_Gerais\Caderno Exercícios Dashboard 2019\Caderno_Exercícios\"/>
    </mc:Choice>
  </mc:AlternateContent>
  <xr:revisionPtr revIDLastSave="0" documentId="13_ncr:1_{4B0A7123-AB70-46B9-AE22-0AEDE70AF039}" xr6:coauthVersionLast="36" xr6:coauthVersionMax="36" xr10:uidLastSave="{00000000-0000-0000-0000-000000000000}"/>
  <bookViews>
    <workbookView xWindow="0" yWindow="0" windowWidth="20490" windowHeight="7755" tabRatio="939" xr2:uid="{00000000-000D-0000-FFFF-FFFF00000000}"/>
  </bookViews>
  <sheets>
    <sheet name="Nome Lista" sheetId="10" r:id="rId1"/>
    <sheet name="Validação" sheetId="18" r:id="rId2"/>
    <sheet name="Rept" sheetId="2" r:id="rId3"/>
    <sheet name="SE" sheetId="7" r:id="rId4"/>
    <sheet name="SE_Controle" sheetId="20" r:id="rId5"/>
    <sheet name="SomaSE" sheetId="15" r:id="rId6"/>
    <sheet name="SomaSES" sheetId="24" r:id="rId7"/>
    <sheet name="SEERRO" sheetId="11" r:id="rId8"/>
    <sheet name="Procv" sheetId="9" r:id="rId9"/>
    <sheet name="Proch" sheetId="12" r:id="rId10"/>
    <sheet name="Corresp" sheetId="16" r:id="rId11"/>
    <sheet name="Indice" sheetId="17" r:id="rId12"/>
    <sheet name="Indice 1" sheetId="23" r:id="rId13"/>
    <sheet name="Escolher" sheetId="25" r:id="rId14"/>
    <sheet name="MédiaSE" sheetId="26" r:id="rId15"/>
    <sheet name="MédiaSES" sheetId="27" r:id="rId16"/>
    <sheet name="Tabela_Dinâmica" sheetId="29" r:id="rId17"/>
    <sheet name="Dados_Tab_Dinâmica" sheetId="28" r:id="rId18"/>
  </sheets>
  <externalReferences>
    <externalReference r:id="rId19"/>
  </externalReferences>
  <definedNames>
    <definedName name="_xlnm._FilterDatabase" localSheetId="17" hidden="1">Dados_Tab_Dinâmica!$A$1:$F$10</definedName>
    <definedName name="_xlnm._FilterDatabase" localSheetId="15" hidden="1">MédiaSES!$A$3:$F$12</definedName>
    <definedName name="_xlnm._FilterDatabase" localSheetId="6" hidden="1">SomaSES!$A$3:$F$12</definedName>
    <definedName name="list1">'Nome Lista'!$A$3:$C$7</definedName>
    <definedName name="list2">'Nome Lista'!$C$4:$C$7</definedName>
    <definedName name="prod" localSheetId="17">[1]Procv!$A$2:$A$5</definedName>
    <definedName name="prod" localSheetId="0">'Nome Lista'!$A$4:$A$7</definedName>
    <definedName name="prod">Procv!$A$2:$A$5</definedName>
    <definedName name="tela" localSheetId="0">'Nome Lista'!$B$4:$B$7</definedName>
    <definedName name="tela">Procv!$B$2:$B$5</definedName>
  </definedNames>
  <calcPr calcId="191029"/>
  <pivotCaches>
    <pivotCache cacheId="6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" i="12" l="1"/>
  <c r="C8" i="12"/>
  <c r="C9" i="12"/>
  <c r="C10" i="12"/>
  <c r="C11" i="12"/>
  <c r="C12" i="12"/>
  <c r="C13" i="12"/>
  <c r="C14" i="12"/>
  <c r="C15" i="12"/>
  <c r="C16" i="12"/>
  <c r="C17" i="12"/>
  <c r="F6" i="9"/>
  <c r="F7" i="9"/>
  <c r="F8" i="9"/>
  <c r="F9" i="9"/>
  <c r="F10" i="9"/>
  <c r="F11" i="9"/>
  <c r="F12" i="9"/>
  <c r="F4" i="9"/>
  <c r="F5" i="9"/>
  <c r="F35" i="28" l="1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D2" i="26" l="1"/>
  <c r="E2" i="26" s="1"/>
  <c r="E2" i="25" l="1"/>
  <c r="H1" i="25" s="1"/>
  <c r="D4" i="11" l="1"/>
  <c r="D5" i="20" l="1"/>
  <c r="E4" i="7"/>
  <c r="E5" i="2"/>
  <c r="E6" i="2"/>
  <c r="E7" i="2"/>
  <c r="E8" i="2"/>
  <c r="E9" i="2"/>
  <c r="E10" i="2"/>
  <c r="E4" i="2"/>
  <c r="H5" i="17" l="1"/>
  <c r="B4" i="12"/>
  <c r="G5" i="9"/>
  <c r="I5" i="9" s="1"/>
  <c r="G6" i="9"/>
  <c r="I6" i="9" s="1"/>
  <c r="G7" i="9"/>
  <c r="I7" i="9" s="1"/>
  <c r="G8" i="9"/>
  <c r="I8" i="9" s="1"/>
  <c r="G9" i="9"/>
  <c r="I9" i="9" s="1"/>
  <c r="G10" i="9"/>
  <c r="I10" i="9" s="1"/>
  <c r="G11" i="9"/>
  <c r="I11" i="9" s="1"/>
  <c r="G12" i="9"/>
  <c r="I12" i="9" s="1"/>
  <c r="G4" i="9"/>
  <c r="I4" i="9" s="1"/>
  <c r="D5" i="11"/>
  <c r="D6" i="11"/>
  <c r="D7" i="11"/>
  <c r="D8" i="11"/>
  <c r="D9" i="11"/>
  <c r="D10" i="11"/>
  <c r="D11" i="11"/>
  <c r="D12" i="11"/>
  <c r="G6" i="7" l="1"/>
  <c r="G7" i="7"/>
  <c r="G8" i="7"/>
  <c r="G9" i="7"/>
  <c r="G10" i="7"/>
  <c r="G11" i="7"/>
  <c r="G12" i="7"/>
  <c r="G13" i="7"/>
  <c r="G4" i="7"/>
  <c r="G5" i="7"/>
  <c r="F12" i="27" l="1"/>
  <c r="F11" i="27"/>
  <c r="F10" i="27"/>
  <c r="F9" i="27"/>
  <c r="F8" i="27"/>
  <c r="J7" i="27"/>
  <c r="F7" i="27"/>
  <c r="F6" i="27"/>
  <c r="J5" i="27"/>
  <c r="F5" i="27"/>
  <c r="F4" i="27"/>
  <c r="J4" i="27" s="1"/>
  <c r="J6" i="27" l="1"/>
  <c r="F12" i="24" l="1"/>
  <c r="F11" i="24"/>
  <c r="F10" i="24"/>
  <c r="F9" i="24"/>
  <c r="F8" i="24"/>
  <c r="F7" i="24"/>
  <c r="J7" i="24" s="1"/>
  <c r="F6" i="24"/>
  <c r="J6" i="24" s="1"/>
  <c r="F5" i="24"/>
  <c r="J5" i="24" s="1"/>
  <c r="F4" i="24"/>
  <c r="J4" i="24" s="1"/>
  <c r="H3" i="23" l="1"/>
  <c r="A9" i="23"/>
  <c r="E6" i="23"/>
  <c r="E5" i="23"/>
  <c r="E4" i="23"/>
  <c r="E3" i="23"/>
  <c r="D2" i="16"/>
  <c r="E9" i="23" l="1"/>
  <c r="B9" i="23"/>
  <c r="D9" i="23"/>
  <c r="C9" i="23"/>
  <c r="E5" i="7"/>
  <c r="E6" i="7"/>
  <c r="E7" i="7"/>
  <c r="E8" i="7"/>
  <c r="E9" i="7"/>
  <c r="E10" i="7"/>
  <c r="E11" i="7"/>
  <c r="E12" i="7"/>
  <c r="E13" i="7"/>
  <c r="E6" i="17" l="1"/>
  <c r="E5" i="17"/>
  <c r="E4" i="17"/>
  <c r="E3" i="17"/>
  <c r="E12" i="15" l="1"/>
  <c r="E11" i="15"/>
  <c r="E10" i="15"/>
  <c r="E9" i="15"/>
  <c r="E8" i="15"/>
  <c r="E7" i="15"/>
  <c r="H7" i="15" s="1"/>
  <c r="E6" i="15"/>
  <c r="H6" i="15" s="1"/>
  <c r="E5" i="15"/>
  <c r="E4" i="15"/>
  <c r="C5" i="12"/>
  <c r="C6" i="12"/>
  <c r="C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D8" i="7"/>
  <c r="F8" i="7" s="1"/>
  <c r="D9" i="7"/>
  <c r="F9" i="7" s="1"/>
  <c r="D10" i="7"/>
  <c r="F10" i="7" s="1"/>
  <c r="D11" i="7"/>
  <c r="F11" i="7" s="1"/>
  <c r="D12" i="7"/>
  <c r="F12" i="7" s="1"/>
  <c r="D13" i="7"/>
  <c r="F13" i="7" s="1"/>
  <c r="D10" i="2"/>
  <c r="D9" i="2"/>
  <c r="D8" i="2"/>
  <c r="D7" i="7"/>
  <c r="F7" i="7" s="1"/>
  <c r="D6" i="7"/>
  <c r="F6" i="7" s="1"/>
  <c r="D5" i="7"/>
  <c r="F5" i="7" s="1"/>
  <c r="D4" i="7"/>
  <c r="F4" i="7" s="1"/>
  <c r="H11" i="15" l="1"/>
  <c r="H5" i="15"/>
  <c r="H4" i="15"/>
  <c r="D5" i="2"/>
  <c r="D6" i="2"/>
  <c r="D7" i="2"/>
  <c r="D4" i="2"/>
  <c r="H8" i="15" l="1"/>
</calcChain>
</file>

<file path=xl/sharedStrings.xml><?xml version="1.0" encoding="utf-8"?>
<sst xmlns="http://schemas.openxmlformats.org/spreadsheetml/2006/main" count="454" uniqueCount="57">
  <si>
    <t>Produtos eletrônicos</t>
  </si>
  <si>
    <t>Quantidade</t>
  </si>
  <si>
    <t>TV</t>
  </si>
  <si>
    <t>Celular</t>
  </si>
  <si>
    <t>Tablet</t>
  </si>
  <si>
    <t>iPad</t>
  </si>
  <si>
    <t>Preços</t>
  </si>
  <si>
    <t>Valor Total</t>
  </si>
  <si>
    <t>Resultado Condicional</t>
  </si>
  <si>
    <t>J</t>
  </si>
  <si>
    <t>K</t>
  </si>
  <si>
    <t>L</t>
  </si>
  <si>
    <t>Tela</t>
  </si>
  <si>
    <t>50 Pol</t>
  </si>
  <si>
    <t>10 Pol</t>
  </si>
  <si>
    <t>12 Pol</t>
  </si>
  <si>
    <t>Preço Unitário</t>
  </si>
  <si>
    <t>Parcelas</t>
  </si>
  <si>
    <t>Valor Total por produto</t>
  </si>
  <si>
    <t>Total Geral</t>
  </si>
  <si>
    <t>Cadastro de Produtos</t>
  </si>
  <si>
    <t>Resultados condicionais</t>
  </si>
  <si>
    <t>Pesquisa por produto</t>
  </si>
  <si>
    <t>Fatura por produto</t>
  </si>
  <si>
    <t xml:space="preserve">Procura por Produto </t>
  </si>
  <si>
    <t>Valor Reajustado</t>
  </si>
  <si>
    <t>Ótimo</t>
  </si>
  <si>
    <t>Bom</t>
  </si>
  <si>
    <t>Resultado (texto)</t>
  </si>
  <si>
    <t>Resultado</t>
  </si>
  <si>
    <t>Valor</t>
  </si>
  <si>
    <t>Resultado (fórmula)</t>
  </si>
  <si>
    <t>Resultado (símbolo)</t>
  </si>
  <si>
    <t>Produtos</t>
  </si>
  <si>
    <t>Posição produto</t>
  </si>
  <si>
    <t>Usando Validação</t>
  </si>
  <si>
    <t>Valor por parcela</t>
  </si>
  <si>
    <t>Posição do produto</t>
  </si>
  <si>
    <t>Linha</t>
  </si>
  <si>
    <t>Coluna</t>
  </si>
  <si>
    <t>Índice</t>
  </si>
  <si>
    <t>Posição da Linha</t>
  </si>
  <si>
    <t>Vendedor</t>
  </si>
  <si>
    <t>Joaquim</t>
  </si>
  <si>
    <t>Sebastião</t>
  </si>
  <si>
    <t>Francisco</t>
  </si>
  <si>
    <t>Maria</t>
  </si>
  <si>
    <t>Total -  Produto/Vendedor</t>
  </si>
  <si>
    <t>Qtd</t>
  </si>
  <si>
    <t>Produto Lista</t>
  </si>
  <si>
    <t>Posição</t>
  </si>
  <si>
    <t>MédiaSE</t>
  </si>
  <si>
    <t>%</t>
  </si>
  <si>
    <t>QTD Total por Produto</t>
  </si>
  <si>
    <t>Soma de Quantidade</t>
  </si>
  <si>
    <t>Celular Total</t>
  </si>
  <si>
    <t>iPad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</si>
</sst>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&quot;R$&quot;\ * #,##0.00_-;\-&quot;R$&quot;\ * #,##0.00_-;_-&quot;R$&quot;\ * &quot;-&quot;??_-;_-@_-"/>
    <numFmt numFmtId="165" formatCode="_-* #,##0_-;\-* #,##0_-;_-* &quot;-&quot;??_-;_-@_-"/>
    <numFmt numFmtId="166" formatCode="0.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Wingdings"/>
      <charset val="2"/>
    </font>
    <font>
      <b/>
      <sz val="14"/>
      <color theme="1"/>
      <name val="Wingdings"/>
      <charset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65">
    <xf numFmtId="0" fontId="0" fillId="0" borderId="0" xfId="0"/>
    <xf numFmtId="164" fontId="0" fillId="0" borderId="0" xfId="2" applyFont="1"/>
    <xf numFmtId="0" fontId="2" fillId="0" borderId="1" xfId="0" applyFont="1" applyBorder="1"/>
    <xf numFmtId="164" fontId="2" fillId="0" borderId="1" xfId="2" applyFont="1" applyBorder="1"/>
    <xf numFmtId="0" fontId="0" fillId="0" borderId="1" xfId="0" applyBorder="1"/>
    <xf numFmtId="164" fontId="0" fillId="0" borderId="1" xfId="2" applyFont="1" applyBorder="1"/>
    <xf numFmtId="165" fontId="0" fillId="0" borderId="1" xfId="1" applyNumberFormat="1" applyFont="1" applyBorder="1"/>
    <xf numFmtId="164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164" fontId="2" fillId="0" borderId="1" xfId="2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/>
    <xf numFmtId="164" fontId="3" fillId="0" borderId="1" xfId="2" applyFont="1" applyBorder="1"/>
    <xf numFmtId="0" fontId="4" fillId="0" borderId="1" xfId="0" applyFont="1" applyBorder="1" applyAlignment="1">
      <alignment horizontal="center" vertical="center" wrapText="1"/>
    </xf>
    <xf numFmtId="164" fontId="4" fillId="0" borderId="1" xfId="2" applyFont="1" applyBorder="1" applyAlignment="1">
      <alignment horizontal="center" vertical="center" wrapText="1"/>
    </xf>
    <xf numFmtId="0" fontId="6" fillId="0" borderId="0" xfId="0" applyFont="1"/>
    <xf numFmtId="0" fontId="3" fillId="0" borderId="1" xfId="0" applyFont="1" applyBorder="1" applyAlignment="1">
      <alignment horizontal="center" vertical="center" wrapText="1"/>
    </xf>
    <xf numFmtId="164" fontId="3" fillId="0" borderId="1" xfId="2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1" xfId="0" applyFont="1" applyBorder="1"/>
    <xf numFmtId="0" fontId="0" fillId="0" borderId="0" xfId="0" applyAlignment="1">
      <alignment horizontal="center" vertical="center"/>
    </xf>
    <xf numFmtId="165" fontId="0" fillId="0" borderId="0" xfId="0" applyNumberFormat="1"/>
    <xf numFmtId="0" fontId="2" fillId="0" borderId="1" xfId="0" applyFont="1" applyBorder="1" applyAlignment="1">
      <alignment horizontal="center"/>
    </xf>
    <xf numFmtId="9" fontId="2" fillId="0" borderId="1" xfId="2" applyNumberFormat="1" applyFont="1" applyBorder="1"/>
    <xf numFmtId="166" fontId="2" fillId="0" borderId="1" xfId="2" applyNumberFormat="1" applyFont="1" applyBorder="1"/>
    <xf numFmtId="0" fontId="8" fillId="0" borderId="1" xfId="0" applyFont="1" applyBorder="1" applyAlignment="1">
      <alignment horizontal="center"/>
    </xf>
    <xf numFmtId="164" fontId="9" fillId="0" borderId="1" xfId="2" applyFont="1" applyBorder="1"/>
    <xf numFmtId="0" fontId="6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2" applyFont="1" applyBorder="1" applyAlignment="1">
      <alignment horizontal="center" vertical="center"/>
    </xf>
    <xf numFmtId="164" fontId="0" fillId="0" borderId="0" xfId="2" applyFont="1" applyAlignment="1">
      <alignment horizontal="center" vertical="center"/>
    </xf>
    <xf numFmtId="43" fontId="0" fillId="0" borderId="1" xfId="1" applyFont="1" applyBorder="1"/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64" fontId="2" fillId="0" borderId="6" xfId="2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164" fontId="0" fillId="0" borderId="9" xfId="2" applyFont="1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164" fontId="2" fillId="0" borderId="0" xfId="0" applyNumberFormat="1" applyFont="1"/>
    <xf numFmtId="0" fontId="2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10" fillId="3" borderId="1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6">
    <dxf>
      <font>
        <b/>
        <i val="0"/>
        <color rgb="FF00B050"/>
      </font>
    </dxf>
    <dxf>
      <font>
        <b/>
        <i val="0"/>
        <color rgb="FF0070C0"/>
      </font>
    </dxf>
    <dxf>
      <font>
        <color rgb="FFFF0000"/>
      </font>
    </dxf>
    <dxf>
      <font>
        <color rgb="FF0070C0"/>
      </font>
    </dxf>
    <dxf>
      <font>
        <color theme="5"/>
      </font>
    </dxf>
    <dxf>
      <font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[2_Resolvido_Caixas e Botões de Controles de Formulário.xlsm]Tabela_Dinâmica!Tabela dinâmica1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Tabela_Dinâmica!$C$3:$C$4</c:f>
              <c:strCache>
                <c:ptCount val="1"/>
                <c:pt idx="0">
                  <c:v>10 Pol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Tabela_Dinâmica!$A$5:$B$10</c:f>
              <c:multiLvlStrCache>
                <c:ptCount val="3"/>
                <c:lvl>
                  <c:pt idx="0">
                    <c:v> R$ 88.000,00 </c:v>
                  </c:pt>
                  <c:pt idx="1">
                    <c:v> R$ 36.000,00 </c:v>
                  </c:pt>
                  <c:pt idx="2">
                    <c:v> R$ 49.500,00 </c:v>
                  </c:pt>
                </c:lvl>
                <c:lvl>
                  <c:pt idx="0">
                    <c:v>Celular</c:v>
                  </c:pt>
                  <c:pt idx="1">
                    <c:v>iPad</c:v>
                  </c:pt>
                </c:lvl>
              </c:multiLvlStrCache>
            </c:multiLvlStrRef>
          </c:cat>
          <c:val>
            <c:numRef>
              <c:f>Tabela_Dinâmica!$C$5:$C$10</c:f>
              <c:numCache>
                <c:formatCode>General</c:formatCode>
                <c:ptCount val="3"/>
                <c:pt idx="0">
                  <c:v>160</c:v>
                </c:pt>
                <c:pt idx="1">
                  <c:v>160</c:v>
                </c:pt>
                <c:pt idx="2">
                  <c:v>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7-4593-B730-D200BE3554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2395808"/>
        <c:axId val="392395480"/>
      </c:barChart>
      <c:catAx>
        <c:axId val="39239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395480"/>
        <c:crosses val="autoZero"/>
        <c:auto val="1"/>
        <c:lblAlgn val="ctr"/>
        <c:lblOffset val="100"/>
        <c:noMultiLvlLbl val="0"/>
      </c:catAx>
      <c:valAx>
        <c:axId val="39239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395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D$2" fmlaRange="$A$2:$A$5" noThreeD="1" sel="2" val="0"/>
</file>

<file path=xl/ctrlProps/ctrlProp2.xml><?xml version="1.0" encoding="utf-8"?>
<formControlPr xmlns="http://schemas.microsoft.com/office/spreadsheetml/2009/9/main" objectType="Drop" dropStyle="combo" dx="16" fmlaLink="$F$1" fmlaRange="$J$2:$J$5" noThreeD="1" sel="4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47625</xdr:rowOff>
        </xdr:from>
        <xdr:to>
          <xdr:col>2</xdr:col>
          <xdr:colOff>1076325</xdr:colOff>
          <xdr:row>1</xdr:row>
          <xdr:rowOff>85725</xdr:rowOff>
        </xdr:to>
        <xdr:sp macro="" textlink="">
          <xdr:nvSpPr>
            <xdr:cNvPr id="13314" name="Drop Dow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47625</xdr:rowOff>
        </xdr:from>
        <xdr:to>
          <xdr:col>6</xdr:col>
          <xdr:colOff>819150</xdr:colOff>
          <xdr:row>0</xdr:row>
          <xdr:rowOff>361950</xdr:rowOff>
        </xdr:to>
        <xdr:sp macro="" textlink="">
          <xdr:nvSpPr>
            <xdr:cNvPr id="14337" name="Drop Dow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252411</xdr:colOff>
      <xdr:row>0</xdr:row>
      <xdr:rowOff>0</xdr:rowOff>
    </xdr:from>
    <xdr:to>
      <xdr:col>13</xdr:col>
      <xdr:colOff>85724</xdr:colOff>
      <xdr:row>17</xdr:row>
      <xdr:rowOff>138114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ria.cferreira/Desktop/Caderno%20Exerc&#237;cios%20Dashboard%202019/Cap&#237;tulos/Cap&#237;tulo_2/Produtos%20Eletr&#244;nicos%20Cap&#237;tulo%202_Resolvi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e Lista"/>
      <sheetName val="Validação"/>
      <sheetName val="Rept"/>
      <sheetName val="SE"/>
      <sheetName val="SE_Controle"/>
      <sheetName val="SomaSE"/>
      <sheetName val="SomaSES"/>
      <sheetName val="SEERRO"/>
      <sheetName val="Procv"/>
      <sheetName val="Proch"/>
      <sheetName val="Corresp"/>
      <sheetName val="Indice"/>
      <sheetName val="Indice 1"/>
      <sheetName val="Escolher"/>
      <sheetName val="MédiaSE"/>
      <sheetName val="MédiaS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A2" t="str">
            <v>Celular</v>
          </cell>
        </row>
        <row r="3">
          <cell r="A3" t="str">
            <v>iPad</v>
          </cell>
        </row>
        <row r="4">
          <cell r="A4" t="str">
            <v>Tablet</v>
          </cell>
        </row>
        <row r="5">
          <cell r="A5" t="str">
            <v>TV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3606.602858564816" createdVersion="6" refreshedVersion="6" minRefreshableVersion="3" recordCount="34" xr:uid="{536961F8-F75C-43C5-AE0E-2CD798D1F941}">
  <cacheSource type="worksheet">
    <worksheetSource ref="A1:F35" sheet="Dados_Tab_Dinâmica"/>
  </cacheSource>
  <cacheFields count="6">
    <cacheField name="Produtos eletrônicos" numFmtId="0">
      <sharedItems count="4">
        <s v="TV"/>
        <s v="Celular"/>
        <s v="Tablet"/>
        <s v="iPad"/>
      </sharedItems>
    </cacheField>
    <cacheField name="Vendedor" numFmtId="0">
      <sharedItems count="4">
        <s v="Joaquim"/>
        <s v="Sebastião"/>
        <s v="Francisco"/>
        <s v="Maria"/>
      </sharedItems>
    </cacheField>
    <cacheField name="Tela" numFmtId="0">
      <sharedItems count="3">
        <s v="50 Pol"/>
        <s v="10 Pol"/>
        <s v="12 Pol"/>
      </sharedItems>
    </cacheField>
    <cacheField name="Preço Unitário" numFmtId="164">
      <sharedItems containsSemiMixedTypes="0" containsString="0" containsNumber="1" containsInteger="1" minValue="900" maxValue="2200"/>
    </cacheField>
    <cacheField name="Quantidade" numFmtId="165">
      <sharedItems containsSemiMixedTypes="0" containsString="0" containsNumber="1" containsInteger="1" minValue="8" maxValue="55"/>
    </cacheField>
    <cacheField name="Valor Total" numFmtId="164">
      <sharedItems containsSemiMixedTypes="0" containsString="0" containsNumber="1" containsInteger="1" minValue="9600" maxValue="88000" count="9">
        <n v="12000"/>
        <n v="70400"/>
        <n v="39200"/>
        <n v="36000"/>
        <n v="9600"/>
        <n v="88000"/>
        <n v="16800"/>
        <n v="49500"/>
        <n v="312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x v="0"/>
    <n v="1200"/>
    <n v="10"/>
    <x v="0"/>
  </r>
  <r>
    <x v="1"/>
    <x v="1"/>
    <x v="1"/>
    <n v="2200"/>
    <n v="32"/>
    <x v="1"/>
  </r>
  <r>
    <x v="2"/>
    <x v="2"/>
    <x v="2"/>
    <n v="1400"/>
    <n v="28"/>
    <x v="2"/>
  </r>
  <r>
    <x v="3"/>
    <x v="3"/>
    <x v="1"/>
    <n v="900"/>
    <n v="40"/>
    <x v="3"/>
  </r>
  <r>
    <x v="0"/>
    <x v="0"/>
    <x v="0"/>
    <n v="1200"/>
    <n v="8"/>
    <x v="4"/>
  </r>
  <r>
    <x v="1"/>
    <x v="3"/>
    <x v="1"/>
    <n v="2200"/>
    <n v="40"/>
    <x v="5"/>
  </r>
  <r>
    <x v="2"/>
    <x v="2"/>
    <x v="2"/>
    <n v="1400"/>
    <n v="12"/>
    <x v="6"/>
  </r>
  <r>
    <x v="3"/>
    <x v="3"/>
    <x v="1"/>
    <n v="900"/>
    <n v="55"/>
    <x v="7"/>
  </r>
  <r>
    <x v="0"/>
    <x v="1"/>
    <x v="0"/>
    <n v="1200"/>
    <n v="26"/>
    <x v="8"/>
  </r>
  <r>
    <x v="0"/>
    <x v="0"/>
    <x v="0"/>
    <n v="1200"/>
    <n v="10"/>
    <x v="0"/>
  </r>
  <r>
    <x v="1"/>
    <x v="1"/>
    <x v="1"/>
    <n v="2200"/>
    <n v="32"/>
    <x v="1"/>
  </r>
  <r>
    <x v="2"/>
    <x v="2"/>
    <x v="2"/>
    <n v="1400"/>
    <n v="28"/>
    <x v="2"/>
  </r>
  <r>
    <x v="3"/>
    <x v="3"/>
    <x v="1"/>
    <n v="900"/>
    <n v="40"/>
    <x v="3"/>
  </r>
  <r>
    <x v="0"/>
    <x v="0"/>
    <x v="0"/>
    <n v="1200"/>
    <n v="8"/>
    <x v="4"/>
  </r>
  <r>
    <x v="1"/>
    <x v="3"/>
    <x v="1"/>
    <n v="2200"/>
    <n v="40"/>
    <x v="5"/>
  </r>
  <r>
    <x v="2"/>
    <x v="2"/>
    <x v="2"/>
    <n v="1400"/>
    <n v="12"/>
    <x v="6"/>
  </r>
  <r>
    <x v="3"/>
    <x v="3"/>
    <x v="1"/>
    <n v="900"/>
    <n v="55"/>
    <x v="7"/>
  </r>
  <r>
    <x v="0"/>
    <x v="1"/>
    <x v="0"/>
    <n v="1200"/>
    <n v="26"/>
    <x v="8"/>
  </r>
  <r>
    <x v="0"/>
    <x v="0"/>
    <x v="0"/>
    <n v="1200"/>
    <n v="10"/>
    <x v="0"/>
  </r>
  <r>
    <x v="1"/>
    <x v="1"/>
    <x v="1"/>
    <n v="2200"/>
    <n v="32"/>
    <x v="1"/>
  </r>
  <r>
    <x v="2"/>
    <x v="2"/>
    <x v="2"/>
    <n v="1400"/>
    <n v="28"/>
    <x v="2"/>
  </r>
  <r>
    <x v="3"/>
    <x v="3"/>
    <x v="1"/>
    <n v="900"/>
    <n v="40"/>
    <x v="3"/>
  </r>
  <r>
    <x v="0"/>
    <x v="0"/>
    <x v="0"/>
    <n v="1200"/>
    <n v="8"/>
    <x v="4"/>
  </r>
  <r>
    <x v="1"/>
    <x v="3"/>
    <x v="1"/>
    <n v="2200"/>
    <n v="40"/>
    <x v="5"/>
  </r>
  <r>
    <x v="2"/>
    <x v="2"/>
    <x v="2"/>
    <n v="1400"/>
    <n v="12"/>
    <x v="6"/>
  </r>
  <r>
    <x v="3"/>
    <x v="3"/>
    <x v="1"/>
    <n v="900"/>
    <n v="55"/>
    <x v="7"/>
  </r>
  <r>
    <x v="0"/>
    <x v="1"/>
    <x v="0"/>
    <n v="1200"/>
    <n v="26"/>
    <x v="8"/>
  </r>
  <r>
    <x v="0"/>
    <x v="0"/>
    <x v="0"/>
    <n v="1200"/>
    <n v="10"/>
    <x v="0"/>
  </r>
  <r>
    <x v="1"/>
    <x v="1"/>
    <x v="1"/>
    <n v="2200"/>
    <n v="32"/>
    <x v="1"/>
  </r>
  <r>
    <x v="2"/>
    <x v="2"/>
    <x v="2"/>
    <n v="1400"/>
    <n v="28"/>
    <x v="2"/>
  </r>
  <r>
    <x v="3"/>
    <x v="3"/>
    <x v="1"/>
    <n v="900"/>
    <n v="40"/>
    <x v="3"/>
  </r>
  <r>
    <x v="0"/>
    <x v="0"/>
    <x v="0"/>
    <n v="1200"/>
    <n v="8"/>
    <x v="4"/>
  </r>
  <r>
    <x v="1"/>
    <x v="3"/>
    <x v="1"/>
    <n v="2200"/>
    <n v="40"/>
    <x v="5"/>
  </r>
  <r>
    <x v="2"/>
    <x v="2"/>
    <x v="2"/>
    <n v="1400"/>
    <n v="12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A88411-3355-41AC-B3A4-3C59729AA9B8}" name="Tabela dinâ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chartFormat="3">
  <location ref="A3:D10" firstHeaderRow="1" firstDataRow="2" firstDataCol="2" rowPageCount="1" colPageCount="1"/>
  <pivotFields count="6">
    <pivotField axis="axisRow" compact="0" outline="0" showAll="0">
      <items count="5">
        <item x="1"/>
        <item x="3"/>
        <item x="2"/>
        <item x="0"/>
        <item t="default"/>
      </items>
    </pivotField>
    <pivotField axis="axisPage" compact="0" outline="0" showAll="0">
      <items count="5">
        <item x="2"/>
        <item x="0"/>
        <item x="3"/>
        <item x="1"/>
        <item t="default"/>
      </items>
    </pivotField>
    <pivotField axis="axisCol" compact="0" outline="0" showAll="0">
      <items count="4">
        <item x="1"/>
        <item x="2"/>
        <item x="0"/>
        <item t="default"/>
      </items>
    </pivotField>
    <pivotField compact="0" numFmtId="164" outline="0" showAll="0"/>
    <pivotField dataField="1" compact="0" numFmtId="165" outline="0" showAll="0"/>
    <pivotField axis="axisRow" compact="0" numFmtId="164" outline="0" showAll="0">
      <items count="10">
        <item x="4"/>
        <item x="0"/>
        <item x="6"/>
        <item x="8"/>
        <item x="3"/>
        <item x="2"/>
        <item x="7"/>
        <item x="1"/>
        <item x="5"/>
        <item t="default"/>
      </items>
    </pivotField>
  </pivotFields>
  <rowFields count="2">
    <field x="0"/>
    <field x="5"/>
  </rowFields>
  <rowItems count="6">
    <i>
      <x/>
      <x v="8"/>
    </i>
    <i t="default">
      <x/>
    </i>
    <i>
      <x v="1"/>
      <x v="4"/>
    </i>
    <i r="1">
      <x v="6"/>
    </i>
    <i t="default">
      <x v="1"/>
    </i>
    <i t="grand">
      <x/>
    </i>
  </rowItems>
  <colFields count="1">
    <field x="2"/>
  </colFields>
  <colItems count="2">
    <i>
      <x/>
    </i>
    <i t="grand">
      <x/>
    </i>
  </colItems>
  <pageFields count="1">
    <pageField fld="1" item="2" hier="-1"/>
  </pageFields>
  <dataFields count="1">
    <dataField name="Soma de Quantidade" fld="4" baseField="0" baseItem="0"/>
  </dataFields>
  <chartFormats count="3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D7"/>
  <sheetViews>
    <sheetView tabSelected="1" zoomScale="170" zoomScaleNormal="170" workbookViewId="0">
      <selection activeCell="E3" sqref="E3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5.28515625" bestFit="1" customWidth="1"/>
    <col min="4" max="4" width="12.85546875" style="1" customWidth="1"/>
  </cols>
  <sheetData>
    <row r="1" spans="1:3" ht="21" x14ac:dyDescent="0.35">
      <c r="A1" s="51" t="s">
        <v>20</v>
      </c>
      <c r="B1" s="51"/>
      <c r="C1" s="51"/>
    </row>
    <row r="2" spans="1:3" x14ac:dyDescent="0.25">
      <c r="A2" s="52"/>
      <c r="B2" s="53"/>
      <c r="C2" s="53"/>
    </row>
    <row r="3" spans="1:3" x14ac:dyDescent="0.25">
      <c r="A3" s="2" t="s">
        <v>0</v>
      </c>
      <c r="B3" s="2" t="s">
        <v>12</v>
      </c>
      <c r="C3" s="3" t="s">
        <v>16</v>
      </c>
    </row>
    <row r="4" spans="1:3" x14ac:dyDescent="0.25">
      <c r="A4" s="4" t="s">
        <v>3</v>
      </c>
      <c r="B4" s="4" t="s">
        <v>14</v>
      </c>
      <c r="C4" s="5">
        <v>2200</v>
      </c>
    </row>
    <row r="5" spans="1:3" x14ac:dyDescent="0.25">
      <c r="A5" s="4" t="s">
        <v>5</v>
      </c>
      <c r="B5" s="4" t="s">
        <v>14</v>
      </c>
      <c r="C5" s="5">
        <v>900</v>
      </c>
    </row>
    <row r="6" spans="1:3" x14ac:dyDescent="0.25">
      <c r="A6" s="4" t="s">
        <v>4</v>
      </c>
      <c r="B6" s="4" t="s">
        <v>15</v>
      </c>
      <c r="C6" s="5">
        <v>1400</v>
      </c>
    </row>
    <row r="7" spans="1:3" x14ac:dyDescent="0.25">
      <c r="A7" s="4" t="s">
        <v>2</v>
      </c>
      <c r="B7" s="4" t="s">
        <v>13</v>
      </c>
      <c r="C7" s="5">
        <v>1200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C7"/>
  <sheetViews>
    <sheetView zoomScale="130" zoomScaleNormal="130" workbookViewId="0">
      <selection activeCell="C14" sqref="C14"/>
    </sheetView>
  </sheetViews>
  <sheetFormatPr defaultColWidth="11.85546875" defaultRowHeight="15" x14ac:dyDescent="0.25"/>
  <cols>
    <col min="1" max="1" width="17.85546875" customWidth="1"/>
    <col min="2" max="3" width="16.5703125" customWidth="1"/>
  </cols>
  <sheetData>
    <row r="1" spans="1:3" ht="23.25" x14ac:dyDescent="0.35">
      <c r="A1" s="54" t="s">
        <v>20</v>
      </c>
      <c r="B1" s="54"/>
      <c r="C1" s="54"/>
    </row>
    <row r="2" spans="1:3" x14ac:dyDescent="0.25">
      <c r="A2" s="52"/>
      <c r="B2" s="53"/>
      <c r="C2" s="55"/>
    </row>
    <row r="3" spans="1:3" s="20" customFormat="1" ht="37.5" x14ac:dyDescent="0.25">
      <c r="A3" s="15" t="s">
        <v>0</v>
      </c>
      <c r="B3" s="15" t="s">
        <v>12</v>
      </c>
      <c r="C3" s="16" t="s">
        <v>16</v>
      </c>
    </row>
    <row r="4" spans="1:3" x14ac:dyDescent="0.25">
      <c r="A4" s="4" t="s">
        <v>5</v>
      </c>
      <c r="B4" s="4"/>
      <c r="C4" s="5">
        <v>34</v>
      </c>
    </row>
    <row r="5" spans="1:3" x14ac:dyDescent="0.25">
      <c r="A5" s="4"/>
      <c r="B5" s="4"/>
      <c r="C5" s="5">
        <v>100</v>
      </c>
    </row>
    <row r="6" spans="1:3" x14ac:dyDescent="0.25">
      <c r="A6" s="4"/>
      <c r="B6" s="4"/>
      <c r="C6" s="5"/>
    </row>
    <row r="7" spans="1:3" x14ac:dyDescent="0.25">
      <c r="A7" s="4"/>
      <c r="B7" s="4"/>
      <c r="C7" s="5"/>
    </row>
  </sheetData>
  <mergeCells count="2">
    <mergeCell ref="A1:C1"/>
    <mergeCell ref="A2:C2"/>
  </mergeCells>
  <dataValidations count="3">
    <dataValidation type="list" allowBlank="1" showInputMessage="1" showErrorMessage="1" sqref="A4:A7" xr:uid="{00000000-0002-0000-0100-000000000000}">
      <formula1>prod</formula1>
    </dataValidation>
    <dataValidation type="decimal" allowBlank="1" showInputMessage="1" showErrorMessage="1" error="Os valores permitidos variam de R$ 1,00 a R4 100,00." sqref="C4:C7" xr:uid="{00000000-0002-0000-0100-000001000000}">
      <formula1>1</formula1>
      <formula2>100</formula2>
    </dataValidation>
    <dataValidation type="whole" allowBlank="1" showInputMessage="1" showErrorMessage="1" sqref="B4:B7" xr:uid="{00000000-0002-0000-0100-000002000000}">
      <formula1>12</formula1>
      <formula2>16</formula2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E10"/>
  <sheetViews>
    <sheetView zoomScale="120" zoomScaleNormal="120" workbookViewId="0">
      <selection activeCell="E5" sqref="E5"/>
    </sheetView>
  </sheetViews>
  <sheetFormatPr defaultRowHeight="15" x14ac:dyDescent="0.25"/>
  <cols>
    <col min="1" max="1" width="19.7109375" bestFit="1" customWidth="1"/>
    <col min="2" max="2" width="15.28515625" style="1" bestFit="1" customWidth="1"/>
    <col min="3" max="3" width="14.85546875" style="1" bestFit="1" customWidth="1"/>
    <col min="4" max="4" width="13.7109375" bestFit="1" customWidth="1"/>
    <col min="5" max="5" width="30.28515625" bestFit="1" customWidth="1"/>
  </cols>
  <sheetData>
    <row r="1" spans="1:5" ht="23.25" x14ac:dyDescent="0.35">
      <c r="A1" s="54" t="s">
        <v>8</v>
      </c>
      <c r="B1" s="54"/>
      <c r="C1" s="54"/>
      <c r="D1" s="54"/>
      <c r="E1" s="54"/>
    </row>
    <row r="2" spans="1:5" x14ac:dyDescent="0.25">
      <c r="A2" s="56"/>
      <c r="B2" s="56"/>
      <c r="C2" s="56"/>
      <c r="D2" s="56"/>
      <c r="E2" s="56"/>
    </row>
    <row r="3" spans="1:5" ht="37.5" x14ac:dyDescent="0.25">
      <c r="A3" s="15" t="s">
        <v>0</v>
      </c>
      <c r="B3" s="16" t="s">
        <v>16</v>
      </c>
      <c r="C3" s="16" t="s">
        <v>1</v>
      </c>
      <c r="D3" s="15" t="s">
        <v>7</v>
      </c>
      <c r="E3" s="15" t="s">
        <v>8</v>
      </c>
    </row>
    <row r="4" spans="1:5" x14ac:dyDescent="0.25">
      <c r="A4" s="4" t="s">
        <v>2</v>
      </c>
      <c r="B4" s="5">
        <v>1200</v>
      </c>
      <c r="C4" s="6">
        <v>10</v>
      </c>
      <c r="D4" s="5">
        <f>B4*C4</f>
        <v>12000</v>
      </c>
      <c r="E4" s="4" t="str">
        <f>REPT("!",C4)</f>
        <v>!!!!!!!!!!</v>
      </c>
    </row>
    <row r="5" spans="1:5" x14ac:dyDescent="0.25">
      <c r="A5" s="4" t="s">
        <v>3</v>
      </c>
      <c r="B5" s="5">
        <v>2200</v>
      </c>
      <c r="C5" s="6">
        <v>32</v>
      </c>
      <c r="D5" s="5">
        <f t="shared" ref="D5:D7" si="0">B5*C5</f>
        <v>70400</v>
      </c>
      <c r="E5" s="4" t="str">
        <f t="shared" ref="E5:E10" si="1">REPT("!",C5)</f>
        <v>!!!!!!!!!!!!!!!!!!!!!!!!!!!!!!!!</v>
      </c>
    </row>
    <row r="6" spans="1:5" x14ac:dyDescent="0.25">
      <c r="A6" s="4" t="s">
        <v>4</v>
      </c>
      <c r="B6" s="5">
        <v>1400</v>
      </c>
      <c r="C6" s="6">
        <v>28</v>
      </c>
      <c r="D6" s="5">
        <f t="shared" si="0"/>
        <v>39200</v>
      </c>
      <c r="E6" s="4" t="str">
        <f t="shared" si="1"/>
        <v>!!!!!!!!!!!!!!!!!!!!!!!!!!!!</v>
      </c>
    </row>
    <row r="7" spans="1:5" x14ac:dyDescent="0.25">
      <c r="A7" s="4" t="s">
        <v>5</v>
      </c>
      <c r="B7" s="5">
        <v>900</v>
      </c>
      <c r="C7" s="6">
        <v>40</v>
      </c>
      <c r="D7" s="5">
        <f t="shared" si="0"/>
        <v>36000</v>
      </c>
      <c r="E7" s="4" t="str">
        <f t="shared" si="1"/>
        <v>!!!!!!!!!!!!!!!!!!!!!!!!!!!!!!!!!!!!!!!!</v>
      </c>
    </row>
    <row r="8" spans="1:5" x14ac:dyDescent="0.25">
      <c r="A8" s="4" t="s">
        <v>2</v>
      </c>
      <c r="B8" s="5">
        <v>1200</v>
      </c>
      <c r="C8" s="6">
        <v>8</v>
      </c>
      <c r="D8" s="5">
        <f>B8*C8</f>
        <v>9600</v>
      </c>
      <c r="E8" s="4" t="str">
        <f t="shared" si="1"/>
        <v>!!!!!!!!</v>
      </c>
    </row>
    <row r="9" spans="1:5" x14ac:dyDescent="0.25">
      <c r="A9" s="4" t="s">
        <v>3</v>
      </c>
      <c r="B9" s="5">
        <v>2200</v>
      </c>
      <c r="C9" s="6">
        <v>40</v>
      </c>
      <c r="D9" s="5">
        <f t="shared" ref="D9:D10" si="2">B9*C9</f>
        <v>88000</v>
      </c>
      <c r="E9" s="4" t="str">
        <f t="shared" si="1"/>
        <v>!!!!!!!!!!!!!!!!!!!!!!!!!!!!!!!!!!!!!!!!</v>
      </c>
    </row>
    <row r="10" spans="1:5" x14ac:dyDescent="0.25">
      <c r="A10" s="4" t="s">
        <v>4</v>
      </c>
      <c r="B10" s="5">
        <v>1400</v>
      </c>
      <c r="C10" s="6">
        <v>12</v>
      </c>
      <c r="D10" s="5">
        <f t="shared" si="2"/>
        <v>16800</v>
      </c>
      <c r="E10" s="4" t="str">
        <f t="shared" si="1"/>
        <v>!!!!!!!!!!!!</v>
      </c>
    </row>
  </sheetData>
  <mergeCells count="2">
    <mergeCell ref="A2:E2"/>
    <mergeCell ref="A1:E1"/>
  </mergeCells>
  <conditionalFormatting sqref="E4:E10">
    <cfRule type="cellIs" dxfId="5" priority="3" operator="equal">
      <formula>$A$9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G18"/>
  <sheetViews>
    <sheetView workbookViewId="0">
      <selection activeCell="F15" sqref="F15"/>
    </sheetView>
  </sheetViews>
  <sheetFormatPr defaultRowHeight="15" x14ac:dyDescent="0.25"/>
  <cols>
    <col min="1" max="1" width="19.7109375" bestFit="1" customWidth="1"/>
    <col min="2" max="2" width="15.28515625" style="1" bestFit="1" customWidth="1"/>
    <col min="3" max="3" width="15.28515625" style="1" customWidth="1"/>
    <col min="4" max="4" width="15.28515625" customWidth="1"/>
    <col min="5" max="5" width="13.42578125" customWidth="1"/>
    <col min="6" max="6" width="14.28515625" style="1" bestFit="1" customWidth="1"/>
    <col min="7" max="7" width="13.85546875" bestFit="1" customWidth="1"/>
  </cols>
  <sheetData>
    <row r="1" spans="1:7" ht="26.25" x14ac:dyDescent="0.4">
      <c r="A1" s="57" t="s">
        <v>21</v>
      </c>
      <c r="B1" s="57"/>
      <c r="C1" s="57"/>
      <c r="D1" s="57"/>
      <c r="E1" s="57"/>
      <c r="F1" s="57"/>
      <c r="G1" s="57"/>
    </row>
    <row r="2" spans="1:7" x14ac:dyDescent="0.25">
      <c r="A2" s="56"/>
      <c r="B2" s="56"/>
      <c r="C2" s="56"/>
      <c r="D2" s="56"/>
      <c r="E2" s="56"/>
      <c r="F2" s="56"/>
      <c r="G2" s="56"/>
    </row>
    <row r="3" spans="1:7" s="17" customFormat="1" ht="37.5" x14ac:dyDescent="0.3">
      <c r="A3" s="15" t="s">
        <v>0</v>
      </c>
      <c r="B3" s="16" t="s">
        <v>16</v>
      </c>
      <c r="C3" s="16" t="s">
        <v>1</v>
      </c>
      <c r="D3" s="15" t="s">
        <v>7</v>
      </c>
      <c r="E3" s="15" t="s">
        <v>28</v>
      </c>
      <c r="F3" s="16" t="s">
        <v>31</v>
      </c>
      <c r="G3" s="15" t="s">
        <v>32</v>
      </c>
    </row>
    <row r="4" spans="1:7" ht="18" x14ac:dyDescent="0.25">
      <c r="A4" s="4" t="s">
        <v>2</v>
      </c>
      <c r="B4" s="5">
        <v>1200</v>
      </c>
      <c r="C4" s="6">
        <v>9</v>
      </c>
      <c r="D4" s="5">
        <f>B4*C4</f>
        <v>10800</v>
      </c>
      <c r="E4" s="4" t="str">
        <f>IF(C4&gt;=$A$16,$B$16,$B$17)</f>
        <v>Bom</v>
      </c>
      <c r="F4" s="5">
        <f>IF(D4&gt;=$C$16,D4+D4*$C$17,D4+D4*$C$18)</f>
        <v>10886.4</v>
      </c>
      <c r="G4" s="27" t="str">
        <f>IF(C4&gt;=$A$16,$D$16,IF(C4&gt;=$A$17,$D$17,$D$18))</f>
        <v>L</v>
      </c>
    </row>
    <row r="5" spans="1:7" ht="18" x14ac:dyDescent="0.25">
      <c r="A5" s="4" t="s">
        <v>3</v>
      </c>
      <c r="B5" s="5">
        <v>2200</v>
      </c>
      <c r="C5" s="6">
        <v>15</v>
      </c>
      <c r="D5" s="5">
        <f t="shared" ref="D5:D13" si="0">B5*C5</f>
        <v>33000</v>
      </c>
      <c r="E5" s="4" t="str">
        <f t="shared" ref="E5:E13" si="1">IF(C5&gt;=$A$16,$B$16,$B$17)</f>
        <v>Bom</v>
      </c>
      <c r="F5" s="5">
        <f t="shared" ref="F5:F13" si="2">IF(D5&gt;=$C$16,D5+D5*$C$17,D5+D5*$C$18)</f>
        <v>33264</v>
      </c>
      <c r="G5" s="27" t="str">
        <f>IF(C5&gt;=$A$16,$D$16,IF(C5&gt;=$A$17,$D$17,$D$18))</f>
        <v>L</v>
      </c>
    </row>
    <row r="6" spans="1:7" ht="18" x14ac:dyDescent="0.25">
      <c r="A6" s="4" t="s">
        <v>4</v>
      </c>
      <c r="B6" s="5">
        <v>1400</v>
      </c>
      <c r="C6" s="6">
        <v>101</v>
      </c>
      <c r="D6" s="5">
        <f t="shared" si="0"/>
        <v>141400</v>
      </c>
      <c r="E6" s="4" t="str">
        <f t="shared" si="1"/>
        <v>Ótimo</v>
      </c>
      <c r="F6" s="5">
        <f t="shared" si="2"/>
        <v>144228</v>
      </c>
      <c r="G6" s="27" t="str">
        <f t="shared" ref="G6:G13" si="3">IF(C6&gt;=$A$16,$D$16,IF(C6&gt;=$A$17,$D$17,$D$18))</f>
        <v>J</v>
      </c>
    </row>
    <row r="7" spans="1:7" ht="18" x14ac:dyDescent="0.25">
      <c r="A7" s="4" t="s">
        <v>5</v>
      </c>
      <c r="B7" s="5">
        <v>900</v>
      </c>
      <c r="C7" s="6">
        <v>31</v>
      </c>
      <c r="D7" s="5">
        <f t="shared" si="0"/>
        <v>27900</v>
      </c>
      <c r="E7" s="4" t="str">
        <f t="shared" si="1"/>
        <v>Bom</v>
      </c>
      <c r="F7" s="5">
        <f t="shared" si="2"/>
        <v>28123.200000000001</v>
      </c>
      <c r="G7" s="27" t="str">
        <f t="shared" si="3"/>
        <v>L</v>
      </c>
    </row>
    <row r="8" spans="1:7" ht="18" x14ac:dyDescent="0.25">
      <c r="A8" s="4" t="s">
        <v>2</v>
      </c>
      <c r="B8" s="5">
        <v>1200</v>
      </c>
      <c r="C8" s="6">
        <v>8</v>
      </c>
      <c r="D8" s="5">
        <f t="shared" si="0"/>
        <v>9600</v>
      </c>
      <c r="E8" s="4" t="str">
        <f t="shared" si="1"/>
        <v>Bom</v>
      </c>
      <c r="F8" s="5">
        <f t="shared" si="2"/>
        <v>9676.7999999999993</v>
      </c>
      <c r="G8" s="27" t="str">
        <f t="shared" si="3"/>
        <v>L</v>
      </c>
    </row>
    <row r="9" spans="1:7" ht="18" x14ac:dyDescent="0.25">
      <c r="A9" s="4" t="s">
        <v>3</v>
      </c>
      <c r="B9" s="5">
        <v>2200</v>
      </c>
      <c r="C9" s="6">
        <v>120</v>
      </c>
      <c r="D9" s="5">
        <f t="shared" si="0"/>
        <v>264000</v>
      </c>
      <c r="E9" s="4" t="str">
        <f t="shared" si="1"/>
        <v>Ótimo</v>
      </c>
      <c r="F9" s="5">
        <f t="shared" si="2"/>
        <v>269280</v>
      </c>
      <c r="G9" s="27" t="str">
        <f t="shared" si="3"/>
        <v>J</v>
      </c>
    </row>
    <row r="10" spans="1:7" ht="18" x14ac:dyDescent="0.25">
      <c r="A10" s="4" t="s">
        <v>4</v>
      </c>
      <c r="B10" s="5">
        <v>1400</v>
      </c>
      <c r="C10" s="6">
        <v>12</v>
      </c>
      <c r="D10" s="5">
        <f t="shared" si="0"/>
        <v>16800</v>
      </c>
      <c r="E10" s="4" t="str">
        <f t="shared" si="1"/>
        <v>Bom</v>
      </c>
      <c r="F10" s="5">
        <f t="shared" si="2"/>
        <v>16934.400000000001</v>
      </c>
      <c r="G10" s="27" t="str">
        <f t="shared" si="3"/>
        <v>L</v>
      </c>
    </row>
    <row r="11" spans="1:7" ht="18" x14ac:dyDescent="0.25">
      <c r="A11" s="4" t="s">
        <v>5</v>
      </c>
      <c r="B11" s="5">
        <v>900</v>
      </c>
      <c r="C11" s="6">
        <v>55</v>
      </c>
      <c r="D11" s="5">
        <f t="shared" si="0"/>
        <v>49500</v>
      </c>
      <c r="E11" s="4" t="str">
        <f t="shared" si="1"/>
        <v>Bom</v>
      </c>
      <c r="F11" s="5">
        <f t="shared" si="2"/>
        <v>49896</v>
      </c>
      <c r="G11" s="27" t="str">
        <f t="shared" si="3"/>
        <v>K</v>
      </c>
    </row>
    <row r="12" spans="1:7" ht="18" x14ac:dyDescent="0.25">
      <c r="A12" s="4" t="s">
        <v>2</v>
      </c>
      <c r="B12" s="5">
        <v>1200</v>
      </c>
      <c r="C12" s="6">
        <v>200</v>
      </c>
      <c r="D12" s="5">
        <f t="shared" si="0"/>
        <v>240000</v>
      </c>
      <c r="E12" s="4" t="str">
        <f t="shared" si="1"/>
        <v>Ótimo</v>
      </c>
      <c r="F12" s="5">
        <f t="shared" si="2"/>
        <v>244800</v>
      </c>
      <c r="G12" s="27" t="str">
        <f t="shared" si="3"/>
        <v>J</v>
      </c>
    </row>
    <row r="13" spans="1:7" ht="18" x14ac:dyDescent="0.25">
      <c r="A13" s="4" t="s">
        <v>3</v>
      </c>
      <c r="B13" s="5">
        <v>2200</v>
      </c>
      <c r="C13" s="6">
        <v>30</v>
      </c>
      <c r="D13" s="5">
        <f t="shared" si="0"/>
        <v>66000</v>
      </c>
      <c r="E13" s="4" t="str">
        <f t="shared" si="1"/>
        <v>Bom</v>
      </c>
      <c r="F13" s="5">
        <f t="shared" si="2"/>
        <v>66528</v>
      </c>
      <c r="G13" s="27" t="str">
        <f t="shared" si="3"/>
        <v>L</v>
      </c>
    </row>
    <row r="15" spans="1:7" x14ac:dyDescent="0.25">
      <c r="A15" s="2" t="s">
        <v>1</v>
      </c>
      <c r="B15" s="3" t="s">
        <v>29</v>
      </c>
      <c r="C15" s="3" t="s">
        <v>30</v>
      </c>
      <c r="D15" s="2" t="s">
        <v>29</v>
      </c>
    </row>
    <row r="16" spans="1:7" ht="18" x14ac:dyDescent="0.25">
      <c r="A16" s="2">
        <v>100</v>
      </c>
      <c r="B16" s="3" t="s">
        <v>26</v>
      </c>
      <c r="C16" s="3">
        <v>100000</v>
      </c>
      <c r="D16" s="28" t="s">
        <v>9</v>
      </c>
    </row>
    <row r="17" spans="1:4" ht="18" x14ac:dyDescent="0.25">
      <c r="A17" s="2">
        <v>50</v>
      </c>
      <c r="B17" s="3" t="s">
        <v>27</v>
      </c>
      <c r="C17" s="25">
        <v>0.02</v>
      </c>
      <c r="D17" s="28" t="s">
        <v>10</v>
      </c>
    </row>
    <row r="18" spans="1:4" ht="18" x14ac:dyDescent="0.25">
      <c r="A18" s="2"/>
      <c r="B18" s="3"/>
      <c r="C18" s="26">
        <v>8.0000000000000002E-3</v>
      </c>
      <c r="D18" s="28" t="s">
        <v>11</v>
      </c>
    </row>
  </sheetData>
  <mergeCells count="2">
    <mergeCell ref="A2:G2"/>
    <mergeCell ref="A1:G1"/>
  </mergeCells>
  <conditionalFormatting sqref="E4:F13">
    <cfRule type="cellIs" dxfId="4" priority="1" operator="equal">
      <formula>"I"</formula>
    </cfRule>
    <cfRule type="cellIs" dxfId="3" priority="5" operator="equal">
      <formula>$A$9</formula>
    </cfRule>
  </conditionalFormatting>
  <conditionalFormatting sqref="G4:G13">
    <cfRule type="cellIs" dxfId="2" priority="15" operator="equal">
      <formula>$D$18</formula>
    </cfRule>
    <cfRule type="cellIs" dxfId="1" priority="16" operator="equal">
      <formula>$D$17</formula>
    </cfRule>
    <cfRule type="cellIs" dxfId="0" priority="17" operator="equal">
      <formula>$D$16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G9"/>
  <sheetViews>
    <sheetView zoomScale="110" zoomScaleNormal="110" workbookViewId="0">
      <selection activeCell="D12" sqref="D12"/>
    </sheetView>
  </sheetViews>
  <sheetFormatPr defaultRowHeight="15" x14ac:dyDescent="0.25"/>
  <cols>
    <col min="1" max="1" width="17.85546875" bestFit="1" customWidth="1"/>
    <col min="2" max="2" width="13.5703125" style="1" bestFit="1" customWidth="1"/>
    <col min="3" max="3" width="18.140625" customWidth="1"/>
    <col min="4" max="4" width="18.140625" bestFit="1" customWidth="1"/>
  </cols>
  <sheetData>
    <row r="1" spans="1:7" x14ac:dyDescent="0.25">
      <c r="A1" s="2" t="s">
        <v>33</v>
      </c>
      <c r="B1" s="3" t="s">
        <v>6</v>
      </c>
      <c r="D1" s="24" t="s">
        <v>34</v>
      </c>
      <c r="F1" s="4" t="s">
        <v>50</v>
      </c>
      <c r="G1" s="4" t="s">
        <v>52</v>
      </c>
    </row>
    <row r="2" spans="1:7" x14ac:dyDescent="0.25">
      <c r="A2" s="4" t="s">
        <v>2</v>
      </c>
      <c r="B2" s="5">
        <v>1200</v>
      </c>
      <c r="C2" s="23"/>
      <c r="D2" s="4">
        <v>2</v>
      </c>
      <c r="F2" s="4">
        <v>1</v>
      </c>
      <c r="G2" s="4">
        <v>1.1000000000000001</v>
      </c>
    </row>
    <row r="3" spans="1:7" x14ac:dyDescent="0.25">
      <c r="A3" s="4" t="s">
        <v>3</v>
      </c>
      <c r="B3" s="5">
        <v>2200</v>
      </c>
      <c r="C3" s="23"/>
      <c r="F3" s="4">
        <v>2</v>
      </c>
      <c r="G3" s="4">
        <v>1.2</v>
      </c>
    </row>
    <row r="4" spans="1:7" ht="15.75" x14ac:dyDescent="0.25">
      <c r="A4" s="4" t="s">
        <v>4</v>
      </c>
      <c r="B4" s="5">
        <v>1400</v>
      </c>
      <c r="C4" s="23"/>
      <c r="D4" s="13" t="s">
        <v>25</v>
      </c>
      <c r="F4" s="4">
        <v>3</v>
      </c>
      <c r="G4" s="4">
        <v>1.5</v>
      </c>
    </row>
    <row r="5" spans="1:7" ht="15.75" x14ac:dyDescent="0.25">
      <c r="A5" s="4" t="s">
        <v>5</v>
      </c>
      <c r="B5" s="5">
        <v>900</v>
      </c>
      <c r="C5" s="23"/>
      <c r="D5" s="14">
        <f>IF(D2=1,B2*$G$2,IF(D2=2,B3*$G$3,IF(D2=3,B4*$G$4,B5*$G$5)))</f>
        <v>2640</v>
      </c>
      <c r="F5" s="4">
        <v>4</v>
      </c>
      <c r="G5" s="4">
        <v>1.8</v>
      </c>
    </row>
    <row r="9" spans="1:7" x14ac:dyDescent="0.25">
      <c r="D9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Drop Down 2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2</xdr:col>
                    <xdr:colOff>1076325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1:H13"/>
  <sheetViews>
    <sheetView zoomScaleNormal="100" workbookViewId="0">
      <selection activeCell="H15" sqref="H15"/>
    </sheetView>
  </sheetViews>
  <sheetFormatPr defaultRowHeight="15" x14ac:dyDescent="0.25"/>
  <cols>
    <col min="1" max="1" width="12.5703125" customWidth="1"/>
    <col min="2" max="2" width="6.28515625" bestFit="1" customWidth="1"/>
    <col min="3" max="3" width="15.85546875" style="1" bestFit="1" customWidth="1"/>
    <col min="4" max="4" width="13.28515625" style="1" bestFit="1" customWidth="1"/>
    <col min="5" max="5" width="15" bestFit="1" customWidth="1"/>
    <col min="6" max="6" width="7" customWidth="1"/>
    <col min="7" max="7" width="18.28515625" customWidth="1"/>
    <col min="8" max="8" width="18.140625" style="1" customWidth="1"/>
  </cols>
  <sheetData>
    <row r="1" spans="1:8" s="10" customFormat="1" ht="23.25" x14ac:dyDescent="0.25">
      <c r="A1" s="58" t="s">
        <v>23</v>
      </c>
      <c r="B1" s="58"/>
      <c r="C1" s="58"/>
      <c r="D1" s="58"/>
      <c r="E1" s="58"/>
      <c r="G1" s="58" t="s">
        <v>29</v>
      </c>
      <c r="H1" s="58"/>
    </row>
    <row r="2" spans="1:8" x14ac:dyDescent="0.25">
      <c r="A2" s="56"/>
      <c r="B2" s="56"/>
      <c r="C2" s="56"/>
      <c r="D2" s="56"/>
      <c r="E2" s="56"/>
      <c r="G2" s="56"/>
      <c r="H2" s="56"/>
    </row>
    <row r="3" spans="1:8" s="22" customFormat="1" ht="31.5" x14ac:dyDescent="0.25">
      <c r="A3" s="18" t="s">
        <v>0</v>
      </c>
      <c r="B3" s="18" t="s">
        <v>12</v>
      </c>
      <c r="C3" s="19" t="s">
        <v>16</v>
      </c>
      <c r="D3" s="19" t="s">
        <v>1</v>
      </c>
      <c r="E3" s="18" t="s">
        <v>7</v>
      </c>
      <c r="G3" s="18" t="s">
        <v>0</v>
      </c>
      <c r="H3" s="19" t="s">
        <v>18</v>
      </c>
    </row>
    <row r="4" spans="1:8" x14ac:dyDescent="0.25">
      <c r="A4" s="4" t="s">
        <v>2</v>
      </c>
      <c r="B4" s="4" t="s">
        <v>13</v>
      </c>
      <c r="C4" s="5">
        <v>1200</v>
      </c>
      <c r="D4" s="6">
        <v>10</v>
      </c>
      <c r="E4" s="5">
        <f>C4*D4</f>
        <v>12000</v>
      </c>
      <c r="G4" s="4" t="s">
        <v>2</v>
      </c>
      <c r="H4" s="5">
        <f>SUMIF($A$4:$A$12,G4,$E$4:$E$12)</f>
        <v>52800</v>
      </c>
    </row>
    <row r="5" spans="1:8" x14ac:dyDescent="0.25">
      <c r="A5" s="4" t="s">
        <v>3</v>
      </c>
      <c r="B5" s="4" t="s">
        <v>14</v>
      </c>
      <c r="C5" s="5">
        <v>2200</v>
      </c>
      <c r="D5" s="6">
        <v>32</v>
      </c>
      <c r="E5" s="5">
        <f t="shared" ref="E5:E12" si="0">C5*D5</f>
        <v>70400</v>
      </c>
      <c r="G5" s="4" t="s">
        <v>3</v>
      </c>
      <c r="H5" s="5">
        <f t="shared" ref="H5:H7" si="1">SUMIF($A$4:$A$12,G5,$E$4:$E$12)</f>
        <v>158400</v>
      </c>
    </row>
    <row r="6" spans="1:8" x14ac:dyDescent="0.25">
      <c r="A6" s="4" t="s">
        <v>4</v>
      </c>
      <c r="B6" s="4" t="s">
        <v>15</v>
      </c>
      <c r="C6" s="5">
        <v>1400</v>
      </c>
      <c r="D6" s="6">
        <v>28</v>
      </c>
      <c r="E6" s="5">
        <f t="shared" si="0"/>
        <v>39200</v>
      </c>
      <c r="G6" s="4" t="s">
        <v>4</v>
      </c>
      <c r="H6" s="5">
        <f t="shared" si="1"/>
        <v>56000</v>
      </c>
    </row>
    <row r="7" spans="1:8" x14ac:dyDescent="0.25">
      <c r="A7" s="4" t="s">
        <v>5</v>
      </c>
      <c r="B7" s="4" t="s">
        <v>14</v>
      </c>
      <c r="C7" s="5">
        <v>900</v>
      </c>
      <c r="D7" s="6">
        <v>40</v>
      </c>
      <c r="E7" s="5">
        <f t="shared" si="0"/>
        <v>36000</v>
      </c>
      <c r="G7" s="4" t="s">
        <v>5</v>
      </c>
      <c r="H7" s="5">
        <f t="shared" si="1"/>
        <v>85500</v>
      </c>
    </row>
    <row r="8" spans="1:8" x14ac:dyDescent="0.25">
      <c r="A8" s="4" t="s">
        <v>2</v>
      </c>
      <c r="B8" s="4" t="s">
        <v>13</v>
      </c>
      <c r="C8" s="5">
        <v>1200</v>
      </c>
      <c r="D8" s="6">
        <v>8</v>
      </c>
      <c r="E8" s="5">
        <f t="shared" si="0"/>
        <v>9600</v>
      </c>
      <c r="G8" s="11" t="s">
        <v>19</v>
      </c>
      <c r="H8" s="3">
        <f>SUM(H4:H7)</f>
        <v>352700</v>
      </c>
    </row>
    <row r="9" spans="1:8" x14ac:dyDescent="0.25">
      <c r="A9" s="4" t="s">
        <v>3</v>
      </c>
      <c r="B9" s="4" t="s">
        <v>14</v>
      </c>
      <c r="C9" s="5">
        <v>2200</v>
      </c>
      <c r="D9" s="6">
        <v>40</v>
      </c>
      <c r="E9" s="5">
        <f t="shared" si="0"/>
        <v>88000</v>
      </c>
    </row>
    <row r="10" spans="1:8" x14ac:dyDescent="0.25">
      <c r="A10" s="4" t="s">
        <v>4</v>
      </c>
      <c r="B10" s="4" t="s">
        <v>15</v>
      </c>
      <c r="C10" s="5">
        <v>1400</v>
      </c>
      <c r="D10" s="6">
        <v>12</v>
      </c>
      <c r="E10" s="5">
        <f t="shared" si="0"/>
        <v>16800</v>
      </c>
      <c r="G10" s="59" t="s">
        <v>35</v>
      </c>
      <c r="H10" s="59"/>
    </row>
    <row r="11" spans="1:8" x14ac:dyDescent="0.25">
      <c r="A11" s="4" t="s">
        <v>5</v>
      </c>
      <c r="B11" s="4" t="s">
        <v>14</v>
      </c>
      <c r="C11" s="5">
        <v>900</v>
      </c>
      <c r="D11" s="6">
        <v>55</v>
      </c>
      <c r="E11" s="5">
        <f t="shared" si="0"/>
        <v>49500</v>
      </c>
      <c r="G11" s="4" t="s">
        <v>3</v>
      </c>
      <c r="H11" s="5">
        <f>SUMIF($A$4:$A$12,G11,$E$4:$E$12)</f>
        <v>158400</v>
      </c>
    </row>
    <row r="12" spans="1:8" x14ac:dyDescent="0.25">
      <c r="A12" s="4" t="s">
        <v>2</v>
      </c>
      <c r="B12" s="4" t="s">
        <v>13</v>
      </c>
      <c r="C12" s="5">
        <v>1200</v>
      </c>
      <c r="D12" s="6">
        <v>26</v>
      </c>
      <c r="E12" s="5">
        <f t="shared" si="0"/>
        <v>31200</v>
      </c>
    </row>
    <row r="13" spans="1:8" x14ac:dyDescent="0.25">
      <c r="E13" s="45"/>
    </row>
  </sheetData>
  <mergeCells count="5">
    <mergeCell ref="A2:E2"/>
    <mergeCell ref="A1:E1"/>
    <mergeCell ref="G1:H1"/>
    <mergeCell ref="G2:H2"/>
    <mergeCell ref="G10:H10"/>
  </mergeCells>
  <dataValidations count="1">
    <dataValidation type="list" allowBlank="1" showInputMessage="1" showErrorMessage="1" sqref="G11" xr:uid="{00000000-0002-0000-0500-000000000000}">
      <formula1>prod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1:J23"/>
  <sheetViews>
    <sheetView zoomScale="80" zoomScaleNormal="80" workbookViewId="0">
      <selection activeCell="K7" sqref="K7"/>
    </sheetView>
  </sheetViews>
  <sheetFormatPr defaultColWidth="13.140625" defaultRowHeight="15" x14ac:dyDescent="0.25"/>
  <cols>
    <col min="4" max="5" width="13.140625" style="1"/>
    <col min="6" max="6" width="14.28515625" bestFit="1" customWidth="1"/>
    <col min="10" max="10" width="20.5703125" style="1" bestFit="1" customWidth="1"/>
  </cols>
  <sheetData>
    <row r="1" spans="1:10" s="10" customFormat="1" ht="23.25" x14ac:dyDescent="0.25">
      <c r="A1" s="58" t="s">
        <v>23</v>
      </c>
      <c r="B1" s="58"/>
      <c r="C1" s="58"/>
      <c r="D1" s="58"/>
      <c r="E1" s="58"/>
      <c r="F1" s="58"/>
      <c r="H1" s="58" t="s">
        <v>29</v>
      </c>
      <c r="I1" s="58"/>
      <c r="J1" s="58"/>
    </row>
    <row r="2" spans="1:10" x14ac:dyDescent="0.25">
      <c r="A2" s="56"/>
      <c r="B2" s="56"/>
      <c r="C2" s="56"/>
      <c r="D2" s="56"/>
      <c r="E2" s="56"/>
      <c r="F2" s="56"/>
      <c r="H2" s="56"/>
      <c r="I2" s="56"/>
      <c r="J2" s="56"/>
    </row>
    <row r="3" spans="1:10" s="22" customFormat="1" ht="47.2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47</v>
      </c>
    </row>
    <row r="4" spans="1:10" x14ac:dyDescent="0.25">
      <c r="A4" s="4" t="s">
        <v>2</v>
      </c>
      <c r="B4" s="4" t="s">
        <v>43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43</v>
      </c>
      <c r="J4" s="5">
        <f>SUMIFS($F$4:$F$12,$A$4:$A$12,H4,$B$4:$B$12,I4)</f>
        <v>52800</v>
      </c>
    </row>
    <row r="5" spans="1:10" x14ac:dyDescent="0.25">
      <c r="A5" s="4" t="s">
        <v>3</v>
      </c>
      <c r="B5" s="4" t="s">
        <v>44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44</v>
      </c>
      <c r="J5" s="5">
        <f t="shared" ref="J5:J7" si="1">SUMIFS($F$4:$F$12,$A$4:$A$12,H5,$B$4:$B$12,I5)</f>
        <v>158400</v>
      </c>
    </row>
    <row r="6" spans="1:10" x14ac:dyDescent="0.25">
      <c r="A6" s="4" t="s">
        <v>4</v>
      </c>
      <c r="B6" s="4" t="s">
        <v>45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45</v>
      </c>
      <c r="J6" s="5">
        <f t="shared" si="1"/>
        <v>56000</v>
      </c>
    </row>
    <row r="7" spans="1:10" x14ac:dyDescent="0.25">
      <c r="A7" s="4" t="s">
        <v>5</v>
      </c>
      <c r="B7" s="4" t="s">
        <v>46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46</v>
      </c>
      <c r="J7" s="5">
        <f t="shared" si="1"/>
        <v>85500</v>
      </c>
    </row>
    <row r="8" spans="1:10" x14ac:dyDescent="0.25">
      <c r="A8" s="4" t="s">
        <v>2</v>
      </c>
      <c r="B8" s="4" t="s">
        <v>43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44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45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46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43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  <row r="23" spans="8:8" x14ac:dyDescent="0.25">
      <c r="H23" s="46"/>
    </row>
  </sheetData>
  <mergeCells count="4">
    <mergeCell ref="A1:F1"/>
    <mergeCell ref="H1:J1"/>
    <mergeCell ref="A2:F2"/>
    <mergeCell ref="H2:J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1:D12"/>
  <sheetViews>
    <sheetView zoomScale="140" zoomScaleNormal="140" workbookViewId="0">
      <selection activeCell="F7" sqref="F7"/>
    </sheetView>
  </sheetViews>
  <sheetFormatPr defaultRowHeight="15" x14ac:dyDescent="0.25"/>
  <cols>
    <col min="1" max="1" width="16" customWidth="1"/>
    <col min="2" max="2" width="13.85546875" customWidth="1"/>
    <col min="3" max="3" width="11.7109375" customWidth="1"/>
    <col min="4" max="4" width="13.42578125" bestFit="1" customWidth="1"/>
  </cols>
  <sheetData>
    <row r="1" spans="1:4" ht="26.25" x14ac:dyDescent="0.4">
      <c r="A1" s="57" t="s">
        <v>17</v>
      </c>
      <c r="B1" s="57"/>
      <c r="C1" s="57"/>
      <c r="D1" s="57"/>
    </row>
    <row r="2" spans="1:4" x14ac:dyDescent="0.25">
      <c r="A2" s="56"/>
      <c r="B2" s="56"/>
      <c r="C2" s="56"/>
      <c r="D2" s="56"/>
    </row>
    <row r="3" spans="1:4" s="29" customFormat="1" ht="37.5" x14ac:dyDescent="0.25">
      <c r="A3" s="15" t="s">
        <v>0</v>
      </c>
      <c r="B3" s="16" t="s">
        <v>16</v>
      </c>
      <c r="C3" s="16" t="s">
        <v>17</v>
      </c>
      <c r="D3" s="15" t="s">
        <v>36</v>
      </c>
    </row>
    <row r="4" spans="1:4" x14ac:dyDescent="0.25">
      <c r="A4" s="4" t="s">
        <v>2</v>
      </c>
      <c r="B4" s="5">
        <v>1200</v>
      </c>
      <c r="C4" s="6">
        <v>2</v>
      </c>
      <c r="D4" s="5">
        <f t="shared" ref="D4:D12" si="0">IFERROR(B4/C4,0)</f>
        <v>600</v>
      </c>
    </row>
    <row r="5" spans="1:4" x14ac:dyDescent="0.25">
      <c r="A5" s="4" t="s">
        <v>3</v>
      </c>
      <c r="B5" s="5">
        <v>2200</v>
      </c>
      <c r="C5" s="6">
        <v>6</v>
      </c>
      <c r="D5" s="5">
        <f t="shared" si="0"/>
        <v>366.66666666666669</v>
      </c>
    </row>
    <row r="6" spans="1:4" x14ac:dyDescent="0.25">
      <c r="A6" s="4" t="s">
        <v>4</v>
      </c>
      <c r="B6" s="5">
        <v>1400</v>
      </c>
      <c r="C6" s="6">
        <v>2</v>
      </c>
      <c r="D6" s="5">
        <f t="shared" si="0"/>
        <v>700</v>
      </c>
    </row>
    <row r="7" spans="1:4" x14ac:dyDescent="0.25">
      <c r="A7" s="4" t="s">
        <v>5</v>
      </c>
      <c r="B7" s="5">
        <v>900</v>
      </c>
      <c r="C7" s="6">
        <v>3</v>
      </c>
      <c r="D7" s="5">
        <f t="shared" si="0"/>
        <v>300</v>
      </c>
    </row>
    <row r="8" spans="1:4" x14ac:dyDescent="0.25">
      <c r="A8" s="4" t="s">
        <v>2</v>
      </c>
      <c r="B8" s="5">
        <v>1459</v>
      </c>
      <c r="C8" s="6"/>
      <c r="D8" s="5">
        <f t="shared" si="0"/>
        <v>0</v>
      </c>
    </row>
    <row r="9" spans="1:4" x14ac:dyDescent="0.25">
      <c r="A9" s="4" t="s">
        <v>3</v>
      </c>
      <c r="B9" s="5">
        <v>1100</v>
      </c>
      <c r="C9" s="6"/>
      <c r="D9" s="5">
        <f t="shared" si="0"/>
        <v>0</v>
      </c>
    </row>
    <row r="10" spans="1:4" x14ac:dyDescent="0.25">
      <c r="A10" s="4" t="s">
        <v>4</v>
      </c>
      <c r="B10" s="5">
        <v>990</v>
      </c>
      <c r="C10" s="6"/>
      <c r="D10" s="5">
        <f t="shared" si="0"/>
        <v>0</v>
      </c>
    </row>
    <row r="11" spans="1:4" x14ac:dyDescent="0.25">
      <c r="A11" s="4" t="s">
        <v>4</v>
      </c>
      <c r="B11" s="5">
        <v>1250</v>
      </c>
      <c r="C11" s="6"/>
      <c r="D11" s="5">
        <f t="shared" si="0"/>
        <v>0</v>
      </c>
    </row>
    <row r="12" spans="1:4" x14ac:dyDescent="0.25">
      <c r="A12" s="4" t="s">
        <v>5</v>
      </c>
      <c r="B12" s="5">
        <v>890</v>
      </c>
      <c r="C12" s="6"/>
      <c r="D12" s="5">
        <f t="shared" si="0"/>
        <v>0</v>
      </c>
    </row>
  </sheetData>
  <mergeCells count="2">
    <mergeCell ref="A2:D2"/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0"/>
  <dimension ref="A1:I12"/>
  <sheetViews>
    <sheetView zoomScale="140" zoomScaleNormal="140" workbookViewId="0">
      <selection activeCell="G9" sqref="G9"/>
    </sheetView>
  </sheetViews>
  <sheetFormatPr defaultRowHeight="15" x14ac:dyDescent="0.25"/>
  <cols>
    <col min="1" max="1" width="19.7109375" bestFit="1" customWidth="1"/>
    <col min="2" max="2" width="6.28515625" bestFit="1" customWidth="1"/>
    <col min="3" max="3" width="12.7109375" style="1" bestFit="1" customWidth="1"/>
    <col min="4" max="4" width="7.5703125" style="1" customWidth="1"/>
    <col min="5" max="5" width="21.85546875" bestFit="1" customWidth="1"/>
    <col min="6" max="6" width="7.7109375" bestFit="1" customWidth="1"/>
    <col min="7" max="9" width="15.5703125" customWidth="1"/>
  </cols>
  <sheetData>
    <row r="1" spans="1:9" s="22" customFormat="1" ht="23.25" x14ac:dyDescent="0.25">
      <c r="A1" s="30" t="s">
        <v>0</v>
      </c>
      <c r="B1" s="30" t="s">
        <v>12</v>
      </c>
      <c r="C1" s="31" t="s">
        <v>6</v>
      </c>
      <c r="D1" s="32"/>
      <c r="E1" s="60" t="s">
        <v>22</v>
      </c>
      <c r="F1" s="61"/>
      <c r="G1" s="61"/>
      <c r="H1" s="61"/>
      <c r="I1" s="62"/>
    </row>
    <row r="2" spans="1:9" x14ac:dyDescent="0.25">
      <c r="A2" s="4" t="s">
        <v>3</v>
      </c>
      <c r="B2" s="4" t="s">
        <v>14</v>
      </c>
      <c r="C2" s="5">
        <v>2200</v>
      </c>
      <c r="E2" s="12"/>
      <c r="F2" s="12"/>
      <c r="G2" s="12"/>
      <c r="H2" s="12"/>
      <c r="I2" s="12"/>
    </row>
    <row r="3" spans="1:9" ht="15.75" x14ac:dyDescent="0.25">
      <c r="A3" s="4" t="s">
        <v>5</v>
      </c>
      <c r="B3" s="4" t="s">
        <v>14</v>
      </c>
      <c r="C3" s="5">
        <v>900</v>
      </c>
      <c r="E3" s="13" t="s">
        <v>0</v>
      </c>
      <c r="F3" s="21" t="s">
        <v>12</v>
      </c>
      <c r="G3" s="14" t="s">
        <v>16</v>
      </c>
      <c r="H3" s="14" t="s">
        <v>1</v>
      </c>
      <c r="I3" s="13" t="s">
        <v>7</v>
      </c>
    </row>
    <row r="4" spans="1:9" x14ac:dyDescent="0.25">
      <c r="A4" s="4" t="s">
        <v>4</v>
      </c>
      <c r="B4" s="4" t="s">
        <v>15</v>
      </c>
      <c r="C4" s="5">
        <v>1400</v>
      </c>
      <c r="E4" s="4" t="s">
        <v>4</v>
      </c>
      <c r="F4" s="5" t="str">
        <f>IFERROR(VLOOKUP($E4,$A:$C,2),"")</f>
        <v>12 Pol</v>
      </c>
      <c r="G4" s="5">
        <f>IFERROR(VLOOKUP($E4,$A:$C,3),0)</f>
        <v>1400</v>
      </c>
      <c r="H4" s="6">
        <v>99</v>
      </c>
      <c r="I4" s="5">
        <f>G4*H4</f>
        <v>138600</v>
      </c>
    </row>
    <row r="5" spans="1:9" x14ac:dyDescent="0.25">
      <c r="A5" s="4" t="s">
        <v>2</v>
      </c>
      <c r="B5" s="4" t="s">
        <v>13</v>
      </c>
      <c r="C5" s="5">
        <v>1200</v>
      </c>
      <c r="E5" s="4" t="s">
        <v>2</v>
      </c>
      <c r="F5" s="5" t="str">
        <f>IFERROR(VLOOKUP($E5,$A:$C,2),"")</f>
        <v>50 Pol</v>
      </c>
      <c r="G5" s="5">
        <f t="shared" ref="G5:G12" si="0">IFERROR(VLOOKUP($E5,$A:$C,3),0)</f>
        <v>1200</v>
      </c>
      <c r="H5" s="6">
        <v>100</v>
      </c>
      <c r="I5" s="5">
        <f t="shared" ref="I5:I12" si="1">G5*H5</f>
        <v>120000</v>
      </c>
    </row>
    <row r="6" spans="1:9" x14ac:dyDescent="0.25">
      <c r="E6" s="4" t="s">
        <v>4</v>
      </c>
      <c r="F6" s="5" t="str">
        <f t="shared" ref="F6:F12" si="2">IFERROR(VLOOKUP($E6,$A:$C,2),"")</f>
        <v>12 Pol</v>
      </c>
      <c r="G6" s="5">
        <f t="shared" si="0"/>
        <v>1400</v>
      </c>
      <c r="H6" s="6">
        <v>101</v>
      </c>
      <c r="I6" s="5">
        <f t="shared" si="1"/>
        <v>141400</v>
      </c>
    </row>
    <row r="7" spans="1:9" x14ac:dyDescent="0.25">
      <c r="E7" s="4" t="s">
        <v>4</v>
      </c>
      <c r="F7" s="5" t="str">
        <f t="shared" si="2"/>
        <v>12 Pol</v>
      </c>
      <c r="G7" s="5">
        <f t="shared" si="0"/>
        <v>1400</v>
      </c>
      <c r="H7" s="6">
        <v>102</v>
      </c>
      <c r="I7" s="5">
        <f t="shared" si="1"/>
        <v>142800</v>
      </c>
    </row>
    <row r="8" spans="1:9" x14ac:dyDescent="0.25">
      <c r="E8" s="4"/>
      <c r="F8" s="5" t="str">
        <f t="shared" si="2"/>
        <v/>
      </c>
      <c r="G8" s="5">
        <f t="shared" si="0"/>
        <v>0</v>
      </c>
      <c r="H8" s="6">
        <v>103</v>
      </c>
      <c r="I8" s="5">
        <f t="shared" si="1"/>
        <v>0</v>
      </c>
    </row>
    <row r="9" spans="1:9" x14ac:dyDescent="0.25">
      <c r="E9" s="4"/>
      <c r="F9" s="5" t="str">
        <f t="shared" si="2"/>
        <v/>
      </c>
      <c r="G9" s="5">
        <f t="shared" si="0"/>
        <v>0</v>
      </c>
      <c r="H9" s="6">
        <v>104</v>
      </c>
      <c r="I9" s="5">
        <f t="shared" si="1"/>
        <v>0</v>
      </c>
    </row>
    <row r="10" spans="1:9" x14ac:dyDescent="0.25">
      <c r="E10" s="4"/>
      <c r="F10" s="5" t="str">
        <f t="shared" si="2"/>
        <v/>
      </c>
      <c r="G10" s="5">
        <f t="shared" si="0"/>
        <v>0</v>
      </c>
      <c r="H10" s="6">
        <v>105</v>
      </c>
      <c r="I10" s="5">
        <f t="shared" si="1"/>
        <v>0</v>
      </c>
    </row>
    <row r="11" spans="1:9" x14ac:dyDescent="0.25">
      <c r="E11" s="4"/>
      <c r="F11" s="5" t="str">
        <f t="shared" si="2"/>
        <v/>
      </c>
      <c r="G11" s="5">
        <f t="shared" si="0"/>
        <v>0</v>
      </c>
      <c r="H11" s="6">
        <v>106</v>
      </c>
      <c r="I11" s="5">
        <f t="shared" si="1"/>
        <v>0</v>
      </c>
    </row>
    <row r="12" spans="1:9" x14ac:dyDescent="0.25">
      <c r="E12" s="4"/>
      <c r="F12" s="5" t="str">
        <f t="shared" si="2"/>
        <v/>
      </c>
      <c r="G12" s="5">
        <f t="shared" si="0"/>
        <v>0</v>
      </c>
      <c r="H12" s="6">
        <v>107</v>
      </c>
      <c r="I12" s="5">
        <f t="shared" si="1"/>
        <v>0</v>
      </c>
    </row>
  </sheetData>
  <sortState ref="A2:C5">
    <sortCondition ref="A1"/>
  </sortState>
  <mergeCells count="1">
    <mergeCell ref="E1:I1"/>
  </mergeCells>
  <dataValidations count="1">
    <dataValidation type="list" allowBlank="1" showInputMessage="1" showErrorMessage="1" errorTitle="Produtos" error="Não digitar, usar a lista (drop-down)." sqref="E4:E12" xr:uid="{00000000-0002-0000-0800-000000000000}">
      <formula1>prod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1"/>
  <dimension ref="A1:I17"/>
  <sheetViews>
    <sheetView zoomScale="130" zoomScaleNormal="130" workbookViewId="0">
      <selection activeCell="E9" sqref="E9"/>
    </sheetView>
  </sheetViews>
  <sheetFormatPr defaultRowHeight="15" x14ac:dyDescent="0.25"/>
  <cols>
    <col min="1" max="1" width="21.85546875" bestFit="1" customWidth="1"/>
    <col min="2" max="3" width="15.28515625" bestFit="1" customWidth="1"/>
    <col min="6" max="6" width="12.7109375" bestFit="1" customWidth="1"/>
    <col min="7" max="7" width="11" bestFit="1" customWidth="1"/>
    <col min="8" max="9" width="12.7109375" bestFit="1" customWidth="1"/>
  </cols>
  <sheetData>
    <row r="1" spans="1:9" ht="23.25" x14ac:dyDescent="0.35">
      <c r="A1" s="54" t="s">
        <v>22</v>
      </c>
      <c r="B1" s="54"/>
      <c r="C1" s="54"/>
      <c r="F1" s="4" t="s">
        <v>3</v>
      </c>
      <c r="G1" s="4" t="s">
        <v>5</v>
      </c>
      <c r="H1" s="4" t="s">
        <v>4</v>
      </c>
      <c r="I1" s="4" t="s">
        <v>2</v>
      </c>
    </row>
    <row r="2" spans="1:9" x14ac:dyDescent="0.25">
      <c r="A2" s="56"/>
      <c r="B2" s="56"/>
      <c r="C2" s="56"/>
      <c r="F2" s="4" t="s">
        <v>14</v>
      </c>
      <c r="G2" s="4" t="s">
        <v>14</v>
      </c>
      <c r="H2" s="4" t="s">
        <v>15</v>
      </c>
      <c r="I2" s="4" t="s">
        <v>13</v>
      </c>
    </row>
    <row r="3" spans="1:9" ht="15.75" x14ac:dyDescent="0.25">
      <c r="A3" s="13" t="s">
        <v>0</v>
      </c>
      <c r="B3" s="13" t="s">
        <v>16</v>
      </c>
      <c r="C3" s="14" t="s">
        <v>12</v>
      </c>
      <c r="F3" s="5">
        <v>2200</v>
      </c>
      <c r="G3" s="5">
        <v>900</v>
      </c>
      <c r="H3" s="5">
        <v>1400</v>
      </c>
      <c r="I3" s="5">
        <v>1200</v>
      </c>
    </row>
    <row r="4" spans="1:9" x14ac:dyDescent="0.25">
      <c r="A4" s="4" t="s">
        <v>4</v>
      </c>
      <c r="B4" s="5">
        <f>IFERROR(HLOOKUP($A4,$F$1:$I$3,3),0)</f>
        <v>1400</v>
      </c>
      <c r="C4" s="5" t="str">
        <f>IFERROR(HLOOKUP($A4,$F$1:$I$3,2),0)</f>
        <v>12 Pol</v>
      </c>
    </row>
    <row r="5" spans="1:9" x14ac:dyDescent="0.25">
      <c r="A5" s="4" t="s">
        <v>2</v>
      </c>
      <c r="B5" s="5">
        <f t="shared" ref="B5:B17" si="0">IFERROR(HLOOKUP($A5,$F$1:$I$3,3),0)</f>
        <v>1200</v>
      </c>
      <c r="C5" s="5" t="str">
        <f t="shared" ref="C5:C17" si="1">IFERROR(HLOOKUP($A5,$F$1:$I$3,2),0)</f>
        <v>50 Pol</v>
      </c>
    </row>
    <row r="6" spans="1:9" x14ac:dyDescent="0.25">
      <c r="A6" s="4" t="s">
        <v>4</v>
      </c>
      <c r="B6" s="5">
        <f t="shared" si="0"/>
        <v>1400</v>
      </c>
      <c r="C6" s="5" t="str">
        <f t="shared" si="1"/>
        <v>12 Pol</v>
      </c>
    </row>
    <row r="7" spans="1:9" x14ac:dyDescent="0.25">
      <c r="A7" s="4" t="s">
        <v>5</v>
      </c>
      <c r="B7" s="5">
        <f t="shared" si="0"/>
        <v>900</v>
      </c>
      <c r="C7" s="5" t="str">
        <f t="shared" si="1"/>
        <v>10 Pol</v>
      </c>
    </row>
    <row r="8" spans="1:9" x14ac:dyDescent="0.25">
      <c r="A8" s="4" t="s">
        <v>4</v>
      </c>
      <c r="B8" s="5">
        <f t="shared" si="0"/>
        <v>1400</v>
      </c>
      <c r="C8" s="5" t="str">
        <f t="shared" si="1"/>
        <v>12 Pol</v>
      </c>
    </row>
    <row r="9" spans="1:9" x14ac:dyDescent="0.25">
      <c r="A9" s="4" t="s">
        <v>2</v>
      </c>
      <c r="B9" s="5">
        <f t="shared" si="0"/>
        <v>1200</v>
      </c>
      <c r="C9" s="5" t="str">
        <f t="shared" si="1"/>
        <v>50 Pol</v>
      </c>
    </row>
    <row r="10" spans="1:9" x14ac:dyDescent="0.25">
      <c r="A10" s="4"/>
      <c r="B10" s="5">
        <f t="shared" si="0"/>
        <v>0</v>
      </c>
      <c r="C10" s="5">
        <f t="shared" si="1"/>
        <v>0</v>
      </c>
    </row>
    <row r="11" spans="1:9" x14ac:dyDescent="0.25">
      <c r="A11" s="4"/>
      <c r="B11" s="5">
        <f t="shared" si="0"/>
        <v>0</v>
      </c>
      <c r="C11" s="5">
        <f t="shared" si="1"/>
        <v>0</v>
      </c>
    </row>
    <row r="12" spans="1:9" x14ac:dyDescent="0.25">
      <c r="A12" s="4"/>
      <c r="B12" s="5">
        <f t="shared" si="0"/>
        <v>0</v>
      </c>
      <c r="C12" s="5">
        <f t="shared" si="1"/>
        <v>0</v>
      </c>
    </row>
    <row r="13" spans="1:9" x14ac:dyDescent="0.25">
      <c r="A13" s="4"/>
      <c r="B13" s="5">
        <f t="shared" si="0"/>
        <v>0</v>
      </c>
      <c r="C13" s="5">
        <f t="shared" si="1"/>
        <v>0</v>
      </c>
    </row>
    <row r="14" spans="1:9" x14ac:dyDescent="0.25">
      <c r="A14" s="4"/>
      <c r="B14" s="5">
        <f t="shared" si="0"/>
        <v>0</v>
      </c>
      <c r="C14" s="5">
        <f t="shared" si="1"/>
        <v>0</v>
      </c>
    </row>
    <row r="15" spans="1:9" x14ac:dyDescent="0.25">
      <c r="A15" s="4"/>
      <c r="B15" s="5">
        <f t="shared" si="0"/>
        <v>0</v>
      </c>
      <c r="C15" s="5">
        <f t="shared" si="1"/>
        <v>0</v>
      </c>
    </row>
    <row r="16" spans="1:9" x14ac:dyDescent="0.25">
      <c r="A16" s="4"/>
      <c r="B16" s="5">
        <f t="shared" si="0"/>
        <v>0</v>
      </c>
      <c r="C16" s="5">
        <f t="shared" si="1"/>
        <v>0</v>
      </c>
    </row>
    <row r="17" spans="1:3" x14ac:dyDescent="0.25">
      <c r="A17" s="4"/>
      <c r="B17" s="5">
        <f t="shared" si="0"/>
        <v>0</v>
      </c>
      <c r="C17" s="5">
        <f t="shared" si="1"/>
        <v>0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/>
  <dimension ref="A1:D5"/>
  <sheetViews>
    <sheetView zoomScale="150" zoomScaleNormal="150" workbookViewId="0">
      <selection activeCell="D6" sqref="D6"/>
    </sheetView>
  </sheetViews>
  <sheetFormatPr defaultRowHeight="15" x14ac:dyDescent="0.25"/>
  <cols>
    <col min="1" max="1" width="19.7109375" bestFit="1" customWidth="1"/>
    <col min="2" max="2" width="6.85546875" customWidth="1"/>
    <col min="3" max="3" width="11" bestFit="1" customWidth="1"/>
    <col min="4" max="4" width="10.85546875" style="1" bestFit="1" customWidth="1"/>
  </cols>
  <sheetData>
    <row r="1" spans="1:4" s="10" customFormat="1" ht="30" x14ac:dyDescent="0.25">
      <c r="A1" s="8" t="s">
        <v>0</v>
      </c>
      <c r="C1" s="8" t="s">
        <v>0</v>
      </c>
      <c r="D1" s="9" t="s">
        <v>37</v>
      </c>
    </row>
    <row r="2" spans="1:4" x14ac:dyDescent="0.25">
      <c r="A2" s="4" t="s">
        <v>3</v>
      </c>
      <c r="C2" s="4" t="s">
        <v>5</v>
      </c>
      <c r="D2" s="6">
        <f>MATCH(C2,A2:A5)</f>
        <v>2</v>
      </c>
    </row>
    <row r="3" spans="1:4" x14ac:dyDescent="0.25">
      <c r="A3" s="4" t="s">
        <v>5</v>
      </c>
      <c r="D3"/>
    </row>
    <row r="4" spans="1:4" x14ac:dyDescent="0.25">
      <c r="A4" s="4" t="s">
        <v>4</v>
      </c>
      <c r="D4"/>
    </row>
    <row r="5" spans="1:4" x14ac:dyDescent="0.25">
      <c r="A5" s="4" t="s">
        <v>2</v>
      </c>
      <c r="D5"/>
    </row>
  </sheetData>
  <sortState ref="A2:E5">
    <sortCondition ref="A1"/>
  </sortState>
  <dataValidations count="1">
    <dataValidation type="list" allowBlank="1" showInputMessage="1" showErrorMessage="1" sqref="C2" xr:uid="{00000000-0002-0000-0A00-000000000000}">
      <formula1>$A$2:$A$5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3"/>
  <dimension ref="A1:H6"/>
  <sheetViews>
    <sheetView zoomScale="180" zoomScaleNormal="180" workbookViewId="0">
      <selection activeCell="G3" sqref="G3"/>
    </sheetView>
  </sheetViews>
  <sheetFormatPr defaultRowHeight="15" x14ac:dyDescent="0.25"/>
  <cols>
    <col min="1" max="1" width="11" bestFit="1" customWidth="1"/>
    <col min="2" max="2" width="6.28515625" bestFit="1" customWidth="1"/>
    <col min="3" max="3" width="12.140625" style="1" bestFit="1" customWidth="1"/>
    <col min="4" max="4" width="11.85546875" style="1" bestFit="1" customWidth="1"/>
    <col min="5" max="5" width="13.28515625" bestFit="1" customWidth="1"/>
    <col min="6" max="6" width="6.28515625" customWidth="1"/>
    <col min="7" max="7" width="6.42578125" bestFit="1" customWidth="1"/>
    <col min="8" max="8" width="10.140625" style="1" customWidth="1"/>
  </cols>
  <sheetData>
    <row r="1" spans="1:8" ht="23.25" x14ac:dyDescent="0.25">
      <c r="A1" s="63" t="s">
        <v>24</v>
      </c>
      <c r="B1" s="63"/>
      <c r="C1" s="63"/>
      <c r="D1" s="63"/>
      <c r="E1" s="63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38</v>
      </c>
      <c r="H2" s="9" t="s">
        <v>39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>
        <v>2</v>
      </c>
      <c r="H3" s="6">
        <v>3</v>
      </c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G5" s="2" t="s">
        <v>40</v>
      </c>
      <c r="H5" s="4">
        <f>INDEX(A3:E6,G3,H3)</f>
        <v>900</v>
      </c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/>
  <dimension ref="A1:H12"/>
  <sheetViews>
    <sheetView zoomScale="150" zoomScaleNormal="150" workbookViewId="0">
      <selection activeCell="H7" sqref="H7"/>
    </sheetView>
  </sheetViews>
  <sheetFormatPr defaultRowHeight="15" x14ac:dyDescent="0.25"/>
  <cols>
    <col min="1" max="1" width="13.5703125" customWidth="1"/>
    <col min="2" max="2" width="6.28515625" bestFit="1" customWidth="1"/>
    <col min="3" max="3" width="12.7109375" style="1" bestFit="1" customWidth="1"/>
    <col min="4" max="4" width="11.85546875" style="1" bestFit="1" customWidth="1"/>
    <col min="5" max="5" width="13.7109375" bestFit="1" customWidth="1"/>
    <col min="7" max="7" width="11" bestFit="1" customWidth="1"/>
    <col min="8" max="8" width="10.7109375" style="1" bestFit="1" customWidth="1"/>
  </cols>
  <sheetData>
    <row r="1" spans="1:8" ht="23.25" x14ac:dyDescent="0.25">
      <c r="A1" s="63" t="s">
        <v>24</v>
      </c>
      <c r="B1" s="63"/>
      <c r="C1" s="63"/>
      <c r="D1" s="63"/>
      <c r="E1" s="63"/>
    </row>
    <row r="2" spans="1:8" s="10" customFormat="1" ht="30" x14ac:dyDescent="0.25">
      <c r="A2" s="8" t="s">
        <v>0</v>
      </c>
      <c r="B2" s="8" t="s">
        <v>12</v>
      </c>
      <c r="C2" s="9" t="s">
        <v>16</v>
      </c>
      <c r="D2" s="9" t="s">
        <v>1</v>
      </c>
      <c r="E2" s="8" t="s">
        <v>7</v>
      </c>
      <c r="G2" s="8" t="s">
        <v>0</v>
      </c>
      <c r="H2" s="9" t="s">
        <v>41</v>
      </c>
    </row>
    <row r="3" spans="1:8" x14ac:dyDescent="0.25">
      <c r="A3" s="4" t="s">
        <v>3</v>
      </c>
      <c r="B3" s="4" t="s">
        <v>14</v>
      </c>
      <c r="C3" s="5">
        <v>2200</v>
      </c>
      <c r="D3" s="6">
        <v>32</v>
      </c>
      <c r="E3" s="5">
        <f>C3*D3</f>
        <v>70400</v>
      </c>
      <c r="G3" s="4" t="s">
        <v>4</v>
      </c>
      <c r="H3" s="6">
        <f>MATCH(G3,A3:A6)</f>
        <v>3</v>
      </c>
    </row>
    <row r="4" spans="1:8" x14ac:dyDescent="0.25">
      <c r="A4" s="4" t="s">
        <v>5</v>
      </c>
      <c r="B4" s="4" t="s">
        <v>14</v>
      </c>
      <c r="C4" s="5">
        <v>900</v>
      </c>
      <c r="D4" s="6">
        <v>40</v>
      </c>
      <c r="E4" s="5">
        <f>C4*D4</f>
        <v>36000</v>
      </c>
      <c r="H4"/>
    </row>
    <row r="5" spans="1:8" x14ac:dyDescent="0.25">
      <c r="A5" s="4" t="s">
        <v>4</v>
      </c>
      <c r="B5" s="4" t="s">
        <v>15</v>
      </c>
      <c r="C5" s="5">
        <v>1400</v>
      </c>
      <c r="D5" s="6">
        <v>28</v>
      </c>
      <c r="E5" s="5">
        <f>C5*D5</f>
        <v>39200</v>
      </c>
      <c r="H5"/>
    </row>
    <row r="6" spans="1:8" x14ac:dyDescent="0.25">
      <c r="A6" s="4" t="s">
        <v>2</v>
      </c>
      <c r="B6" s="4" t="s">
        <v>13</v>
      </c>
      <c r="C6" s="5">
        <v>1200</v>
      </c>
      <c r="D6" s="6">
        <v>10</v>
      </c>
      <c r="E6" s="5">
        <f>C6*D6</f>
        <v>12000</v>
      </c>
      <c r="H6"/>
    </row>
    <row r="7" spans="1:8" ht="15.75" thickBot="1" x14ac:dyDescent="0.3"/>
    <row r="8" spans="1:8" ht="30" x14ac:dyDescent="0.25">
      <c r="A8" s="34" t="s">
        <v>0</v>
      </c>
      <c r="B8" s="35" t="s">
        <v>12</v>
      </c>
      <c r="C8" s="36" t="s">
        <v>16</v>
      </c>
      <c r="D8" s="36" t="s">
        <v>1</v>
      </c>
      <c r="E8" s="37" t="s">
        <v>7</v>
      </c>
    </row>
    <row r="9" spans="1:8" ht="15.75" thickBot="1" x14ac:dyDescent="0.3">
      <c r="A9" s="38" t="str">
        <f>G3</f>
        <v>Tablet</v>
      </c>
      <c r="B9" s="39" t="str">
        <f>INDEX($A$3:$E$6,$H$3,B$12:E$12)</f>
        <v>12 Pol</v>
      </c>
      <c r="C9" s="40">
        <f t="shared" ref="C9:E9" si="0">INDEX($A$3:$E$6,$H$3,C$12:F$12)</f>
        <v>1400</v>
      </c>
      <c r="D9" s="39">
        <f t="shared" si="0"/>
        <v>28</v>
      </c>
      <c r="E9" s="40">
        <f t="shared" si="0"/>
        <v>39200</v>
      </c>
    </row>
    <row r="12" spans="1:8" x14ac:dyDescent="0.25">
      <c r="C12"/>
      <c r="D12"/>
    </row>
  </sheetData>
  <mergeCells count="1">
    <mergeCell ref="A1:E1"/>
  </mergeCells>
  <dataValidations count="1">
    <dataValidation type="list" allowBlank="1" showInputMessage="1" showErrorMessage="1" sqref="G3" xr:uid="{00000000-0002-0000-0C00-000000000000}">
      <formula1>prod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5"/>
  <dimension ref="A1:K11"/>
  <sheetViews>
    <sheetView zoomScale="120" zoomScaleNormal="120" workbookViewId="0">
      <selection activeCell="F7" sqref="F7"/>
    </sheetView>
  </sheetViews>
  <sheetFormatPr defaultRowHeight="15" x14ac:dyDescent="0.25"/>
  <cols>
    <col min="1" max="2" width="14" customWidth="1"/>
    <col min="3" max="3" width="6.85546875" customWidth="1"/>
    <col min="4" max="4" width="10.7109375" customWidth="1"/>
    <col min="5" max="5" width="13.140625" style="1" customWidth="1"/>
    <col min="7" max="7" width="12" customWidth="1"/>
    <col min="10" max="11" width="9.140625" customWidth="1"/>
  </cols>
  <sheetData>
    <row r="1" spans="1:11" s="10" customFormat="1" ht="30" x14ac:dyDescent="0.25">
      <c r="A1" s="8" t="s">
        <v>0</v>
      </c>
      <c r="B1" s="8" t="s">
        <v>48</v>
      </c>
      <c r="D1" s="8" t="s">
        <v>50</v>
      </c>
      <c r="E1" s="9" t="s">
        <v>49</v>
      </c>
      <c r="G1" s="47" t="s">
        <v>53</v>
      </c>
      <c r="H1" s="48">
        <f>SUMIF(A2:A11,E2,B2:B11)</f>
        <v>398</v>
      </c>
      <c r="J1" s="4" t="s">
        <v>3</v>
      </c>
      <c r="K1" s="4">
        <v>1</v>
      </c>
    </row>
    <row r="2" spans="1:11" x14ac:dyDescent="0.25">
      <c r="A2" s="4" t="s">
        <v>3</v>
      </c>
      <c r="B2" s="4">
        <v>300</v>
      </c>
      <c r="D2" s="41">
        <v>4</v>
      </c>
      <c r="E2" s="6" t="str">
        <f>CHOOSE(D2,J1,J2,J3,J4)</f>
        <v>TV</v>
      </c>
      <c r="J2" s="4" t="s">
        <v>5</v>
      </c>
      <c r="K2" s="4">
        <v>2</v>
      </c>
    </row>
    <row r="3" spans="1:11" x14ac:dyDescent="0.25">
      <c r="A3" s="4" t="s">
        <v>5</v>
      </c>
      <c r="B3" s="4">
        <v>240</v>
      </c>
      <c r="E3"/>
      <c r="J3" s="4" t="s">
        <v>4</v>
      </c>
      <c r="K3" s="4">
        <v>3</v>
      </c>
    </row>
    <row r="4" spans="1:11" x14ac:dyDescent="0.25">
      <c r="A4" s="4" t="s">
        <v>4</v>
      </c>
      <c r="B4" s="4">
        <v>200</v>
      </c>
      <c r="J4" s="4" t="s">
        <v>2</v>
      </c>
      <c r="K4" s="4">
        <v>4</v>
      </c>
    </row>
    <row r="5" spans="1:11" x14ac:dyDescent="0.25">
      <c r="A5" s="4" t="s">
        <v>2</v>
      </c>
      <c r="B5" s="42">
        <v>199</v>
      </c>
    </row>
    <row r="6" spans="1:11" x14ac:dyDescent="0.25">
      <c r="A6" s="4" t="s">
        <v>3</v>
      </c>
      <c r="B6" s="4">
        <v>300</v>
      </c>
    </row>
    <row r="7" spans="1:11" x14ac:dyDescent="0.25">
      <c r="A7" s="4" t="s">
        <v>5</v>
      </c>
      <c r="B7" s="4">
        <v>240</v>
      </c>
    </row>
    <row r="8" spans="1:11" x14ac:dyDescent="0.25">
      <c r="A8" s="4" t="s">
        <v>4</v>
      </c>
      <c r="B8" s="4">
        <v>200</v>
      </c>
    </row>
    <row r="9" spans="1:11" x14ac:dyDescent="0.25">
      <c r="A9" s="4" t="s">
        <v>2</v>
      </c>
      <c r="B9" s="42">
        <v>199</v>
      </c>
    </row>
    <row r="10" spans="1:11" x14ac:dyDescent="0.25">
      <c r="A10" s="4" t="s">
        <v>3</v>
      </c>
      <c r="B10" s="4">
        <v>300</v>
      </c>
    </row>
    <row r="11" spans="1:11" x14ac:dyDescent="0.25">
      <c r="A11" s="4" t="s">
        <v>5</v>
      </c>
      <c r="B11" s="4">
        <v>240</v>
      </c>
    </row>
  </sheetData>
  <sortState ref="J1:J4">
    <sortCondition ref="J2"/>
  </sortState>
  <dataValidations count="1">
    <dataValidation type="list" allowBlank="1" showInputMessage="1" showErrorMessage="1" sqref="D2" xr:uid="{00000000-0002-0000-0D00-000000000000}">
      <formula1>$K$1:$K$4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7"/>
  <dimension ref="A1:J11"/>
  <sheetViews>
    <sheetView zoomScale="150" zoomScaleNormal="150" workbookViewId="0">
      <selection activeCell="G7" sqref="G7"/>
    </sheetView>
  </sheetViews>
  <sheetFormatPr defaultRowHeight="15" x14ac:dyDescent="0.25"/>
  <cols>
    <col min="1" max="2" width="14" customWidth="1"/>
    <col min="3" max="3" width="4.85546875" customWidth="1"/>
    <col min="4" max="4" width="11" bestFit="1" customWidth="1"/>
    <col min="5" max="5" width="13.140625" style="1" customWidth="1"/>
    <col min="6" max="6" width="5" customWidth="1"/>
    <col min="7" max="7" width="12.42578125" customWidth="1"/>
    <col min="8" max="9" width="7" customWidth="1"/>
  </cols>
  <sheetData>
    <row r="1" spans="1:10" s="10" customFormat="1" ht="30" x14ac:dyDescent="0.25">
      <c r="A1" s="8" t="s">
        <v>0</v>
      </c>
      <c r="B1" s="8" t="s">
        <v>48</v>
      </c>
      <c r="D1" s="64" t="s">
        <v>51</v>
      </c>
      <c r="E1" s="64"/>
      <c r="F1" s="43">
        <v>4</v>
      </c>
      <c r="G1" s="44"/>
    </row>
    <row r="2" spans="1:10" x14ac:dyDescent="0.25">
      <c r="A2" s="4" t="s">
        <v>3</v>
      </c>
      <c r="B2" s="4">
        <v>322</v>
      </c>
      <c r="D2" s="4" t="str">
        <f>CHOOSE(F1,J2,J3,J4,J5)</f>
        <v>TV</v>
      </c>
      <c r="E2" s="33">
        <f>AVERAGEIF($A$2:$A$11,D2,$B$2:$B$11)</f>
        <v>207</v>
      </c>
      <c r="J2" s="4" t="s">
        <v>3</v>
      </c>
    </row>
    <row r="3" spans="1:10" x14ac:dyDescent="0.25">
      <c r="A3" s="4" t="s">
        <v>5</v>
      </c>
      <c r="B3" s="4">
        <v>240</v>
      </c>
      <c r="E3"/>
      <c r="J3" s="4" t="s">
        <v>5</v>
      </c>
    </row>
    <row r="4" spans="1:10" x14ac:dyDescent="0.25">
      <c r="A4" s="4" t="s">
        <v>4</v>
      </c>
      <c r="B4" s="4">
        <v>200</v>
      </c>
      <c r="E4"/>
      <c r="J4" s="4" t="s">
        <v>4</v>
      </c>
    </row>
    <row r="5" spans="1:10" x14ac:dyDescent="0.25">
      <c r="A5" s="4" t="s">
        <v>2</v>
      </c>
      <c r="B5" s="42">
        <v>199</v>
      </c>
      <c r="E5"/>
      <c r="J5" s="4" t="s">
        <v>2</v>
      </c>
    </row>
    <row r="6" spans="1:10" x14ac:dyDescent="0.25">
      <c r="A6" s="4" t="s">
        <v>3</v>
      </c>
      <c r="B6" s="4">
        <v>300</v>
      </c>
      <c r="E6"/>
    </row>
    <row r="7" spans="1:10" x14ac:dyDescent="0.25">
      <c r="A7" s="4" t="s">
        <v>5</v>
      </c>
      <c r="B7" s="4">
        <v>312</v>
      </c>
      <c r="E7"/>
    </row>
    <row r="8" spans="1:10" x14ac:dyDescent="0.25">
      <c r="A8" s="4" t="s">
        <v>4</v>
      </c>
      <c r="B8" s="4">
        <v>285</v>
      </c>
    </row>
    <row r="9" spans="1:10" x14ac:dyDescent="0.25">
      <c r="A9" s="4" t="s">
        <v>2</v>
      </c>
      <c r="B9" s="42">
        <v>215</v>
      </c>
    </row>
    <row r="10" spans="1:10" x14ac:dyDescent="0.25">
      <c r="A10" s="4" t="s">
        <v>3</v>
      </c>
      <c r="B10" s="4">
        <v>390</v>
      </c>
    </row>
    <row r="11" spans="1:10" x14ac:dyDescent="0.25">
      <c r="A11" s="4" t="s">
        <v>5</v>
      </c>
      <c r="B11" s="4">
        <v>255</v>
      </c>
    </row>
  </sheetData>
  <mergeCells count="1">
    <mergeCell ref="D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Drop Down 1">
              <controlPr defaultSize="0" autoLine="0" autoPict="0">
                <anchor moveWithCells="1">
                  <from>
                    <xdr:col>6</xdr:col>
                    <xdr:colOff>0</xdr:colOff>
                    <xdr:row>0</xdr:row>
                    <xdr:rowOff>47625</xdr:rowOff>
                  </from>
                  <to>
                    <xdr:col>6</xdr:col>
                    <xdr:colOff>819150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8"/>
  <dimension ref="A1:J18"/>
  <sheetViews>
    <sheetView zoomScaleNormal="100" workbookViewId="0">
      <selection activeCell="L17" sqref="L17"/>
    </sheetView>
  </sheetViews>
  <sheetFormatPr defaultRowHeight="15" x14ac:dyDescent="0.25"/>
  <cols>
    <col min="1" max="1" width="13.5703125" bestFit="1" customWidth="1"/>
    <col min="2" max="2" width="10.85546875" bestFit="1" customWidth="1"/>
    <col min="3" max="3" width="10.42578125" customWidth="1"/>
    <col min="4" max="4" width="15.85546875" style="1" bestFit="1" customWidth="1"/>
    <col min="5" max="5" width="13.28515625" style="1" bestFit="1" customWidth="1"/>
    <col min="6" max="6" width="14.42578125" bestFit="1" customWidth="1"/>
    <col min="7" max="7" width="7" customWidth="1"/>
    <col min="8" max="9" width="15.5703125" customWidth="1"/>
    <col min="10" max="10" width="20.7109375" style="1" customWidth="1"/>
  </cols>
  <sheetData>
    <row r="1" spans="1:10" s="10" customFormat="1" ht="23.25" x14ac:dyDescent="0.25">
      <c r="A1" s="58" t="s">
        <v>23</v>
      </c>
      <c r="B1" s="58"/>
      <c r="C1" s="58"/>
      <c r="D1" s="58"/>
      <c r="E1" s="58"/>
      <c r="F1" s="58"/>
      <c r="H1" s="58" t="s">
        <v>29</v>
      </c>
      <c r="I1" s="58"/>
      <c r="J1" s="58"/>
    </row>
    <row r="2" spans="1:10" x14ac:dyDescent="0.25">
      <c r="A2" s="56"/>
      <c r="B2" s="56"/>
      <c r="C2" s="56"/>
      <c r="D2" s="56"/>
      <c r="E2" s="56"/>
      <c r="F2" s="56"/>
      <c r="H2" s="56"/>
      <c r="I2" s="56"/>
      <c r="J2" s="56"/>
    </row>
    <row r="3" spans="1:10" s="22" customFormat="1" ht="31.5" x14ac:dyDescent="0.25">
      <c r="A3" s="18" t="s">
        <v>0</v>
      </c>
      <c r="B3" s="18" t="s">
        <v>42</v>
      </c>
      <c r="C3" s="18" t="s">
        <v>12</v>
      </c>
      <c r="D3" s="19" t="s">
        <v>16</v>
      </c>
      <c r="E3" s="19" t="s">
        <v>1</v>
      </c>
      <c r="F3" s="18" t="s">
        <v>7</v>
      </c>
      <c r="H3" s="18" t="s">
        <v>0</v>
      </c>
      <c r="I3" s="18" t="s">
        <v>42</v>
      </c>
      <c r="J3" s="19" t="s">
        <v>47</v>
      </c>
    </row>
    <row r="4" spans="1:10" x14ac:dyDescent="0.25">
      <c r="A4" s="4" t="s">
        <v>2</v>
      </c>
      <c r="B4" s="4" t="s">
        <v>43</v>
      </c>
      <c r="C4" s="4" t="s">
        <v>13</v>
      </c>
      <c r="D4" s="5">
        <v>1200</v>
      </c>
      <c r="E4" s="6">
        <v>10</v>
      </c>
      <c r="F4" s="5">
        <f>D4*E4</f>
        <v>12000</v>
      </c>
      <c r="H4" s="4" t="s">
        <v>2</v>
      </c>
      <c r="I4" s="4" t="s">
        <v>43</v>
      </c>
      <c r="J4" s="5">
        <f>IFERROR(AVERAGEIFS($F$4:$F$12,$A$4:$A$12,H4,$B$4:$B$12,I4),0)</f>
        <v>10800</v>
      </c>
    </row>
    <row r="5" spans="1:10" x14ac:dyDescent="0.25">
      <c r="A5" s="4" t="s">
        <v>3</v>
      </c>
      <c r="B5" s="4" t="s">
        <v>44</v>
      </c>
      <c r="C5" s="4" t="s">
        <v>14</v>
      </c>
      <c r="D5" s="5">
        <v>2200</v>
      </c>
      <c r="E5" s="6">
        <v>32</v>
      </c>
      <c r="F5" s="5">
        <f t="shared" ref="F5:F12" si="0">D5*E5</f>
        <v>70400</v>
      </c>
      <c r="H5" s="4" t="s">
        <v>3</v>
      </c>
      <c r="I5" s="4" t="s">
        <v>43</v>
      </c>
      <c r="J5" s="5">
        <f t="shared" ref="J5:J7" si="1">IFERROR(AVERAGEIFS($F$4:$F$12,$A$4:$A$12,H5,$B$4:$B$12,I5),0)</f>
        <v>0</v>
      </c>
    </row>
    <row r="6" spans="1:10" x14ac:dyDescent="0.25">
      <c r="A6" s="4" t="s">
        <v>4</v>
      </c>
      <c r="B6" s="4" t="s">
        <v>45</v>
      </c>
      <c r="C6" s="4" t="s">
        <v>15</v>
      </c>
      <c r="D6" s="5">
        <v>1400</v>
      </c>
      <c r="E6" s="6">
        <v>28</v>
      </c>
      <c r="F6" s="5">
        <f t="shared" si="0"/>
        <v>39200</v>
      </c>
      <c r="H6" s="4" t="s">
        <v>4</v>
      </c>
      <c r="I6" s="4" t="s">
        <v>45</v>
      </c>
      <c r="J6" s="5">
        <f t="shared" si="1"/>
        <v>28000</v>
      </c>
    </row>
    <row r="7" spans="1:10" x14ac:dyDescent="0.25">
      <c r="A7" s="4" t="s">
        <v>5</v>
      </c>
      <c r="B7" s="4" t="s">
        <v>46</v>
      </c>
      <c r="C7" s="4" t="s">
        <v>14</v>
      </c>
      <c r="D7" s="5">
        <v>900</v>
      </c>
      <c r="E7" s="6">
        <v>40</v>
      </c>
      <c r="F7" s="5">
        <f t="shared" si="0"/>
        <v>36000</v>
      </c>
      <c r="H7" s="4" t="s">
        <v>5</v>
      </c>
      <c r="I7" s="4" t="s">
        <v>46</v>
      </c>
      <c r="J7" s="5">
        <f t="shared" si="1"/>
        <v>42750</v>
      </c>
    </row>
    <row r="8" spans="1:10" x14ac:dyDescent="0.25">
      <c r="A8" s="4" t="s">
        <v>2</v>
      </c>
      <c r="B8" s="4" t="s">
        <v>43</v>
      </c>
      <c r="C8" s="4" t="s">
        <v>13</v>
      </c>
      <c r="D8" s="5">
        <v>1200</v>
      </c>
      <c r="E8" s="6">
        <v>8</v>
      </c>
      <c r="F8" s="5">
        <f t="shared" si="0"/>
        <v>9600</v>
      </c>
      <c r="J8"/>
    </row>
    <row r="9" spans="1:10" x14ac:dyDescent="0.25">
      <c r="A9" s="4" t="s">
        <v>3</v>
      </c>
      <c r="B9" s="4" t="s">
        <v>46</v>
      </c>
      <c r="C9" s="4" t="s">
        <v>14</v>
      </c>
      <c r="D9" s="5">
        <v>2200</v>
      </c>
      <c r="E9" s="6">
        <v>40</v>
      </c>
      <c r="F9" s="5">
        <f t="shared" si="0"/>
        <v>88000</v>
      </c>
      <c r="J9"/>
    </row>
    <row r="10" spans="1:10" x14ac:dyDescent="0.25">
      <c r="A10" s="4" t="s">
        <v>4</v>
      </c>
      <c r="B10" s="4" t="s">
        <v>45</v>
      </c>
      <c r="C10" s="4" t="s">
        <v>15</v>
      </c>
      <c r="D10" s="5">
        <v>1400</v>
      </c>
      <c r="E10" s="6">
        <v>12</v>
      </c>
      <c r="F10" s="5">
        <f t="shared" si="0"/>
        <v>16800</v>
      </c>
      <c r="J10"/>
    </row>
    <row r="11" spans="1:10" x14ac:dyDescent="0.25">
      <c r="A11" s="4" t="s">
        <v>5</v>
      </c>
      <c r="B11" s="4" t="s">
        <v>46</v>
      </c>
      <c r="C11" s="4" t="s">
        <v>14</v>
      </c>
      <c r="D11" s="5">
        <v>900</v>
      </c>
      <c r="E11" s="6">
        <v>55</v>
      </c>
      <c r="F11" s="5">
        <f t="shared" si="0"/>
        <v>49500</v>
      </c>
      <c r="J11"/>
    </row>
    <row r="12" spans="1:10" x14ac:dyDescent="0.25">
      <c r="A12" s="4" t="s">
        <v>2</v>
      </c>
      <c r="B12" s="4" t="s">
        <v>44</v>
      </c>
      <c r="C12" s="4" t="s">
        <v>13</v>
      </c>
      <c r="D12" s="5">
        <v>1200</v>
      </c>
      <c r="E12" s="6">
        <v>26</v>
      </c>
      <c r="F12" s="5">
        <f t="shared" si="0"/>
        <v>31200</v>
      </c>
      <c r="J12"/>
    </row>
    <row r="13" spans="1:10" x14ac:dyDescent="0.25">
      <c r="F13" s="7"/>
    </row>
    <row r="15" spans="1:10" x14ac:dyDescent="0.25">
      <c r="A15" s="4" t="s">
        <v>43</v>
      </c>
    </row>
    <row r="16" spans="1:10" x14ac:dyDescent="0.25">
      <c r="A16" s="4" t="s">
        <v>44</v>
      </c>
    </row>
    <row r="17" spans="1:1" x14ac:dyDescent="0.25">
      <c r="A17" s="4" t="s">
        <v>45</v>
      </c>
    </row>
    <row r="18" spans="1:1" x14ac:dyDescent="0.25">
      <c r="A18" s="4" t="s">
        <v>46</v>
      </c>
    </row>
  </sheetData>
  <mergeCells count="4">
    <mergeCell ref="A1:F1"/>
    <mergeCell ref="H1:J1"/>
    <mergeCell ref="A2:F2"/>
    <mergeCell ref="H2:J2"/>
  </mergeCells>
  <dataValidations count="1">
    <dataValidation type="list" allowBlank="1" showInputMessage="1" showErrorMessage="1" sqref="I4:I7" xr:uid="{00000000-0002-0000-0F00-000000000000}">
      <formula1>$A$15:$A$18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22E14-5F1E-48DA-8096-2A01971281AF}">
  <dimension ref="A1:D10"/>
  <sheetViews>
    <sheetView workbookViewId="0">
      <selection activeCell="P18" sqref="P18"/>
    </sheetView>
  </sheetViews>
  <sheetFormatPr defaultRowHeight="15" x14ac:dyDescent="0.25"/>
  <cols>
    <col min="1" max="1" width="22" bestFit="1" customWidth="1"/>
    <col min="2" max="2" width="13.28515625" bestFit="1" customWidth="1"/>
    <col min="3" max="3" width="7" bestFit="1" customWidth="1"/>
    <col min="4" max="4" width="10.7109375" bestFit="1" customWidth="1"/>
    <col min="5" max="5" width="7" bestFit="1" customWidth="1"/>
    <col min="6" max="6" width="10.7109375" bestFit="1" customWidth="1"/>
  </cols>
  <sheetData>
    <row r="1" spans="1:4" x14ac:dyDescent="0.25">
      <c r="A1" s="49" t="s">
        <v>42</v>
      </c>
      <c r="B1" t="s">
        <v>46</v>
      </c>
    </row>
    <row r="3" spans="1:4" x14ac:dyDescent="0.25">
      <c r="A3" s="49" t="s">
        <v>54</v>
      </c>
      <c r="C3" s="49" t="s">
        <v>12</v>
      </c>
    </row>
    <row r="4" spans="1:4" x14ac:dyDescent="0.25">
      <c r="A4" s="49" t="s">
        <v>0</v>
      </c>
      <c r="B4" s="49" t="s">
        <v>7</v>
      </c>
      <c r="C4" t="s">
        <v>14</v>
      </c>
      <c r="D4" t="s">
        <v>19</v>
      </c>
    </row>
    <row r="5" spans="1:4" x14ac:dyDescent="0.25">
      <c r="A5" t="s">
        <v>3</v>
      </c>
      <c r="B5" s="7">
        <v>88000</v>
      </c>
      <c r="C5" s="50">
        <v>160</v>
      </c>
      <c r="D5" s="50">
        <v>160</v>
      </c>
    </row>
    <row r="6" spans="1:4" x14ac:dyDescent="0.25">
      <c r="A6" t="s">
        <v>55</v>
      </c>
      <c r="C6" s="50">
        <v>160</v>
      </c>
      <c r="D6" s="50">
        <v>160</v>
      </c>
    </row>
    <row r="7" spans="1:4" x14ac:dyDescent="0.25">
      <c r="A7" t="s">
        <v>5</v>
      </c>
      <c r="B7" s="7">
        <v>36000</v>
      </c>
      <c r="C7" s="50">
        <v>160</v>
      </c>
      <c r="D7" s="50">
        <v>160</v>
      </c>
    </row>
    <row r="8" spans="1:4" x14ac:dyDescent="0.25">
      <c r="B8" s="7">
        <v>49500</v>
      </c>
      <c r="C8" s="50">
        <v>165</v>
      </c>
      <c r="D8" s="50">
        <v>165</v>
      </c>
    </row>
    <row r="9" spans="1:4" x14ac:dyDescent="0.25">
      <c r="A9" t="s">
        <v>56</v>
      </c>
      <c r="C9" s="50">
        <v>325</v>
      </c>
      <c r="D9" s="50">
        <v>325</v>
      </c>
    </row>
    <row r="10" spans="1:4" x14ac:dyDescent="0.25">
      <c r="A10" t="s">
        <v>19</v>
      </c>
      <c r="C10" s="50">
        <v>485</v>
      </c>
      <c r="D10" s="50">
        <v>485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9408-29CA-449F-8B41-DCE699810C60}">
  <sheetPr codeName="Plan19"/>
  <dimension ref="A1:F35"/>
  <sheetViews>
    <sheetView zoomScale="90" zoomScaleNormal="90" workbookViewId="0">
      <selection activeCell="J16" sqref="J16"/>
    </sheetView>
  </sheetViews>
  <sheetFormatPr defaultRowHeight="15" x14ac:dyDescent="0.25"/>
  <cols>
    <col min="1" max="1" width="13.5703125" bestFit="1" customWidth="1"/>
    <col min="2" max="2" width="10.85546875" bestFit="1" customWidth="1"/>
    <col min="3" max="3" width="10.42578125" customWidth="1"/>
    <col min="4" max="4" width="15.85546875" style="1" bestFit="1" customWidth="1"/>
    <col min="5" max="5" width="13.28515625" style="1" bestFit="1" customWidth="1"/>
    <col min="6" max="6" width="16.5703125" bestFit="1" customWidth="1"/>
  </cols>
  <sheetData>
    <row r="1" spans="1:6" s="22" customFormat="1" ht="31.5" x14ac:dyDescent="0.25">
      <c r="A1" s="18" t="s">
        <v>0</v>
      </c>
      <c r="B1" s="18" t="s">
        <v>42</v>
      </c>
      <c r="C1" s="18" t="s">
        <v>12</v>
      </c>
      <c r="D1" s="19" t="s">
        <v>16</v>
      </c>
      <c r="E1" s="19" t="s">
        <v>1</v>
      </c>
      <c r="F1" s="18" t="s">
        <v>7</v>
      </c>
    </row>
    <row r="2" spans="1:6" x14ac:dyDescent="0.25">
      <c r="A2" s="4" t="s">
        <v>2</v>
      </c>
      <c r="B2" s="4" t="s">
        <v>43</v>
      </c>
      <c r="C2" s="4" t="s">
        <v>13</v>
      </c>
      <c r="D2" s="5">
        <v>1200</v>
      </c>
      <c r="E2" s="6">
        <v>10</v>
      </c>
      <c r="F2" s="5">
        <f>D2*E2</f>
        <v>12000</v>
      </c>
    </row>
    <row r="3" spans="1:6" x14ac:dyDescent="0.25">
      <c r="A3" s="4" t="s">
        <v>3</v>
      </c>
      <c r="B3" s="4" t="s">
        <v>44</v>
      </c>
      <c r="C3" s="4" t="s">
        <v>14</v>
      </c>
      <c r="D3" s="5">
        <v>2200</v>
      </c>
      <c r="E3" s="6">
        <v>32</v>
      </c>
      <c r="F3" s="5">
        <f t="shared" ref="F3:F10" si="0">D3*E3</f>
        <v>70400</v>
      </c>
    </row>
    <row r="4" spans="1:6" x14ac:dyDescent="0.25">
      <c r="A4" s="4" t="s">
        <v>4</v>
      </c>
      <c r="B4" s="4" t="s">
        <v>45</v>
      </c>
      <c r="C4" s="4" t="s">
        <v>15</v>
      </c>
      <c r="D4" s="5">
        <v>1400</v>
      </c>
      <c r="E4" s="6">
        <v>28</v>
      </c>
      <c r="F4" s="5">
        <f t="shared" si="0"/>
        <v>39200</v>
      </c>
    </row>
    <row r="5" spans="1:6" x14ac:dyDescent="0.25">
      <c r="A5" s="4" t="s">
        <v>5</v>
      </c>
      <c r="B5" s="4" t="s">
        <v>46</v>
      </c>
      <c r="C5" s="4" t="s">
        <v>14</v>
      </c>
      <c r="D5" s="5">
        <v>900</v>
      </c>
      <c r="E5" s="6">
        <v>40</v>
      </c>
      <c r="F5" s="5">
        <f t="shared" si="0"/>
        <v>36000</v>
      </c>
    </row>
    <row r="6" spans="1:6" x14ac:dyDescent="0.25">
      <c r="A6" s="4" t="s">
        <v>2</v>
      </c>
      <c r="B6" s="4" t="s">
        <v>43</v>
      </c>
      <c r="C6" s="4" t="s">
        <v>13</v>
      </c>
      <c r="D6" s="5">
        <v>1200</v>
      </c>
      <c r="E6" s="6">
        <v>8</v>
      </c>
      <c r="F6" s="5">
        <f t="shared" si="0"/>
        <v>9600</v>
      </c>
    </row>
    <row r="7" spans="1:6" x14ac:dyDescent="0.25">
      <c r="A7" s="4" t="s">
        <v>3</v>
      </c>
      <c r="B7" s="4" t="s">
        <v>46</v>
      </c>
      <c r="C7" s="4" t="s">
        <v>14</v>
      </c>
      <c r="D7" s="5">
        <v>2200</v>
      </c>
      <c r="E7" s="6">
        <v>40</v>
      </c>
      <c r="F7" s="5">
        <f t="shared" si="0"/>
        <v>88000</v>
      </c>
    </row>
    <row r="8" spans="1:6" x14ac:dyDescent="0.25">
      <c r="A8" s="4" t="s">
        <v>4</v>
      </c>
      <c r="B8" s="4" t="s">
        <v>45</v>
      </c>
      <c r="C8" s="4" t="s">
        <v>15</v>
      </c>
      <c r="D8" s="5">
        <v>1400</v>
      </c>
      <c r="E8" s="6">
        <v>12</v>
      </c>
      <c r="F8" s="5">
        <f t="shared" si="0"/>
        <v>16800</v>
      </c>
    </row>
    <row r="9" spans="1:6" x14ac:dyDescent="0.25">
      <c r="A9" s="4" t="s">
        <v>5</v>
      </c>
      <c r="B9" s="4" t="s">
        <v>46</v>
      </c>
      <c r="C9" s="4" t="s">
        <v>14</v>
      </c>
      <c r="D9" s="5">
        <v>900</v>
      </c>
      <c r="E9" s="6">
        <v>55</v>
      </c>
      <c r="F9" s="5">
        <f t="shared" si="0"/>
        <v>49500</v>
      </c>
    </row>
    <row r="10" spans="1:6" x14ac:dyDescent="0.25">
      <c r="A10" s="4" t="s">
        <v>2</v>
      </c>
      <c r="B10" s="4" t="s">
        <v>44</v>
      </c>
      <c r="C10" s="4" t="s">
        <v>13</v>
      </c>
      <c r="D10" s="5">
        <v>1200</v>
      </c>
      <c r="E10" s="6">
        <v>26</v>
      </c>
      <c r="F10" s="5">
        <f t="shared" si="0"/>
        <v>31200</v>
      </c>
    </row>
    <row r="11" spans="1:6" x14ac:dyDescent="0.25">
      <c r="A11" s="4" t="s">
        <v>2</v>
      </c>
      <c r="B11" s="4" t="s">
        <v>43</v>
      </c>
      <c r="C11" s="4" t="s">
        <v>13</v>
      </c>
      <c r="D11" s="5">
        <v>1200</v>
      </c>
      <c r="E11" s="6">
        <v>10</v>
      </c>
      <c r="F11" s="5">
        <f>D11*E11</f>
        <v>12000</v>
      </c>
    </row>
    <row r="12" spans="1:6" x14ac:dyDescent="0.25">
      <c r="A12" s="4" t="s">
        <v>3</v>
      </c>
      <c r="B12" s="4" t="s">
        <v>44</v>
      </c>
      <c r="C12" s="4" t="s">
        <v>14</v>
      </c>
      <c r="D12" s="5">
        <v>2200</v>
      </c>
      <c r="E12" s="6">
        <v>32</v>
      </c>
      <c r="F12" s="5">
        <f t="shared" ref="F12:F19" si="1">D12*E12</f>
        <v>70400</v>
      </c>
    </row>
    <row r="13" spans="1:6" x14ac:dyDescent="0.25">
      <c r="A13" s="4" t="s">
        <v>4</v>
      </c>
      <c r="B13" s="4" t="s">
        <v>45</v>
      </c>
      <c r="C13" s="4" t="s">
        <v>15</v>
      </c>
      <c r="D13" s="5">
        <v>1400</v>
      </c>
      <c r="E13" s="6">
        <v>28</v>
      </c>
      <c r="F13" s="5">
        <f t="shared" si="1"/>
        <v>39200</v>
      </c>
    </row>
    <row r="14" spans="1:6" x14ac:dyDescent="0.25">
      <c r="A14" s="4" t="s">
        <v>5</v>
      </c>
      <c r="B14" s="4" t="s">
        <v>46</v>
      </c>
      <c r="C14" s="4" t="s">
        <v>14</v>
      </c>
      <c r="D14" s="5">
        <v>900</v>
      </c>
      <c r="E14" s="6">
        <v>40</v>
      </c>
      <c r="F14" s="5">
        <f t="shared" si="1"/>
        <v>36000</v>
      </c>
    </row>
    <row r="15" spans="1:6" x14ac:dyDescent="0.25">
      <c r="A15" s="4" t="s">
        <v>2</v>
      </c>
      <c r="B15" s="4" t="s">
        <v>43</v>
      </c>
      <c r="C15" s="4" t="s">
        <v>13</v>
      </c>
      <c r="D15" s="5">
        <v>1200</v>
      </c>
      <c r="E15" s="6">
        <v>8</v>
      </c>
      <c r="F15" s="5">
        <f t="shared" si="1"/>
        <v>9600</v>
      </c>
    </row>
    <row r="16" spans="1:6" x14ac:dyDescent="0.25">
      <c r="A16" s="4" t="s">
        <v>3</v>
      </c>
      <c r="B16" s="4" t="s">
        <v>46</v>
      </c>
      <c r="C16" s="4" t="s">
        <v>14</v>
      </c>
      <c r="D16" s="5">
        <v>2200</v>
      </c>
      <c r="E16" s="6">
        <v>40</v>
      </c>
      <c r="F16" s="5">
        <f t="shared" si="1"/>
        <v>88000</v>
      </c>
    </row>
    <row r="17" spans="1:6" x14ac:dyDescent="0.25">
      <c r="A17" s="4" t="s">
        <v>4</v>
      </c>
      <c r="B17" s="4" t="s">
        <v>45</v>
      </c>
      <c r="C17" s="4" t="s">
        <v>15</v>
      </c>
      <c r="D17" s="5">
        <v>1400</v>
      </c>
      <c r="E17" s="6">
        <v>12</v>
      </c>
      <c r="F17" s="5">
        <f t="shared" si="1"/>
        <v>16800</v>
      </c>
    </row>
    <row r="18" spans="1:6" x14ac:dyDescent="0.25">
      <c r="A18" s="4" t="s">
        <v>5</v>
      </c>
      <c r="B18" s="4" t="s">
        <v>46</v>
      </c>
      <c r="C18" s="4" t="s">
        <v>14</v>
      </c>
      <c r="D18" s="5">
        <v>900</v>
      </c>
      <c r="E18" s="6">
        <v>55</v>
      </c>
      <c r="F18" s="5">
        <f t="shared" si="1"/>
        <v>49500</v>
      </c>
    </row>
    <row r="19" spans="1:6" x14ac:dyDescent="0.25">
      <c r="A19" s="4" t="s">
        <v>2</v>
      </c>
      <c r="B19" s="4" t="s">
        <v>44</v>
      </c>
      <c r="C19" s="4" t="s">
        <v>13</v>
      </c>
      <c r="D19" s="5">
        <v>1200</v>
      </c>
      <c r="E19" s="6">
        <v>26</v>
      </c>
      <c r="F19" s="5">
        <f t="shared" si="1"/>
        <v>31200</v>
      </c>
    </row>
    <row r="20" spans="1:6" x14ac:dyDescent="0.25">
      <c r="A20" s="4" t="s">
        <v>2</v>
      </c>
      <c r="B20" s="4" t="s">
        <v>43</v>
      </c>
      <c r="C20" s="4" t="s">
        <v>13</v>
      </c>
      <c r="D20" s="5">
        <v>1200</v>
      </c>
      <c r="E20" s="6">
        <v>10</v>
      </c>
      <c r="F20" s="5">
        <f>D20*E20</f>
        <v>12000</v>
      </c>
    </row>
    <row r="21" spans="1:6" x14ac:dyDescent="0.25">
      <c r="A21" s="4" t="s">
        <v>3</v>
      </c>
      <c r="B21" s="4" t="s">
        <v>44</v>
      </c>
      <c r="C21" s="4" t="s">
        <v>14</v>
      </c>
      <c r="D21" s="5">
        <v>2200</v>
      </c>
      <c r="E21" s="6">
        <v>32</v>
      </c>
      <c r="F21" s="5">
        <f t="shared" ref="F21:F28" si="2">D21*E21</f>
        <v>70400</v>
      </c>
    </row>
    <row r="22" spans="1:6" x14ac:dyDescent="0.25">
      <c r="A22" s="4" t="s">
        <v>4</v>
      </c>
      <c r="B22" s="4" t="s">
        <v>45</v>
      </c>
      <c r="C22" s="4" t="s">
        <v>15</v>
      </c>
      <c r="D22" s="5">
        <v>1400</v>
      </c>
      <c r="E22" s="6">
        <v>28</v>
      </c>
      <c r="F22" s="5">
        <f t="shared" si="2"/>
        <v>39200</v>
      </c>
    </row>
    <row r="23" spans="1:6" x14ac:dyDescent="0.25">
      <c r="A23" s="4" t="s">
        <v>5</v>
      </c>
      <c r="B23" s="4" t="s">
        <v>46</v>
      </c>
      <c r="C23" s="4" t="s">
        <v>14</v>
      </c>
      <c r="D23" s="5">
        <v>900</v>
      </c>
      <c r="E23" s="6">
        <v>40</v>
      </c>
      <c r="F23" s="5">
        <f t="shared" si="2"/>
        <v>36000</v>
      </c>
    </row>
    <row r="24" spans="1:6" x14ac:dyDescent="0.25">
      <c r="A24" s="4" t="s">
        <v>2</v>
      </c>
      <c r="B24" s="4" t="s">
        <v>43</v>
      </c>
      <c r="C24" s="4" t="s">
        <v>13</v>
      </c>
      <c r="D24" s="5">
        <v>1200</v>
      </c>
      <c r="E24" s="6">
        <v>8</v>
      </c>
      <c r="F24" s="5">
        <f t="shared" si="2"/>
        <v>9600</v>
      </c>
    </row>
    <row r="25" spans="1:6" x14ac:dyDescent="0.25">
      <c r="A25" s="4" t="s">
        <v>3</v>
      </c>
      <c r="B25" s="4" t="s">
        <v>46</v>
      </c>
      <c r="C25" s="4" t="s">
        <v>14</v>
      </c>
      <c r="D25" s="5">
        <v>2200</v>
      </c>
      <c r="E25" s="6">
        <v>40</v>
      </c>
      <c r="F25" s="5">
        <f t="shared" si="2"/>
        <v>88000</v>
      </c>
    </row>
    <row r="26" spans="1:6" x14ac:dyDescent="0.25">
      <c r="A26" s="4" t="s">
        <v>4</v>
      </c>
      <c r="B26" s="4" t="s">
        <v>45</v>
      </c>
      <c r="C26" s="4" t="s">
        <v>15</v>
      </c>
      <c r="D26" s="5">
        <v>1400</v>
      </c>
      <c r="E26" s="6">
        <v>12</v>
      </c>
      <c r="F26" s="5">
        <f t="shared" si="2"/>
        <v>16800</v>
      </c>
    </row>
    <row r="27" spans="1:6" x14ac:dyDescent="0.25">
      <c r="A27" s="4" t="s">
        <v>5</v>
      </c>
      <c r="B27" s="4" t="s">
        <v>46</v>
      </c>
      <c r="C27" s="4" t="s">
        <v>14</v>
      </c>
      <c r="D27" s="5">
        <v>900</v>
      </c>
      <c r="E27" s="6">
        <v>55</v>
      </c>
      <c r="F27" s="5">
        <f t="shared" si="2"/>
        <v>49500</v>
      </c>
    </row>
    <row r="28" spans="1:6" x14ac:dyDescent="0.25">
      <c r="A28" s="4" t="s">
        <v>2</v>
      </c>
      <c r="B28" s="4" t="s">
        <v>44</v>
      </c>
      <c r="C28" s="4" t="s">
        <v>13</v>
      </c>
      <c r="D28" s="5">
        <v>1200</v>
      </c>
      <c r="E28" s="6">
        <v>26</v>
      </c>
      <c r="F28" s="5">
        <f t="shared" si="2"/>
        <v>31200</v>
      </c>
    </row>
    <row r="29" spans="1:6" x14ac:dyDescent="0.25">
      <c r="A29" s="4" t="s">
        <v>2</v>
      </c>
      <c r="B29" s="4" t="s">
        <v>43</v>
      </c>
      <c r="C29" s="4" t="s">
        <v>13</v>
      </c>
      <c r="D29" s="5">
        <v>1200</v>
      </c>
      <c r="E29" s="6">
        <v>10</v>
      </c>
      <c r="F29" s="5">
        <f>D29*E29</f>
        <v>12000</v>
      </c>
    </row>
    <row r="30" spans="1:6" x14ac:dyDescent="0.25">
      <c r="A30" s="4" t="s">
        <v>3</v>
      </c>
      <c r="B30" s="4" t="s">
        <v>44</v>
      </c>
      <c r="C30" s="4" t="s">
        <v>14</v>
      </c>
      <c r="D30" s="5">
        <v>2200</v>
      </c>
      <c r="E30" s="6">
        <v>32</v>
      </c>
      <c r="F30" s="5">
        <f t="shared" ref="F30:F35" si="3">D30*E30</f>
        <v>70400</v>
      </c>
    </row>
    <row r="31" spans="1:6" x14ac:dyDescent="0.25">
      <c r="A31" s="4" t="s">
        <v>4</v>
      </c>
      <c r="B31" s="4" t="s">
        <v>45</v>
      </c>
      <c r="C31" s="4" t="s">
        <v>15</v>
      </c>
      <c r="D31" s="5">
        <v>1400</v>
      </c>
      <c r="E31" s="6">
        <v>28</v>
      </c>
      <c r="F31" s="5">
        <f t="shared" si="3"/>
        <v>39200</v>
      </c>
    </row>
    <row r="32" spans="1:6" x14ac:dyDescent="0.25">
      <c r="A32" s="4" t="s">
        <v>5</v>
      </c>
      <c r="B32" s="4" t="s">
        <v>46</v>
      </c>
      <c r="C32" s="4" t="s">
        <v>14</v>
      </c>
      <c r="D32" s="5">
        <v>900</v>
      </c>
      <c r="E32" s="6">
        <v>40</v>
      </c>
      <c r="F32" s="5">
        <f t="shared" si="3"/>
        <v>36000</v>
      </c>
    </row>
    <row r="33" spans="1:6" x14ac:dyDescent="0.25">
      <c r="A33" s="4" t="s">
        <v>2</v>
      </c>
      <c r="B33" s="4" t="s">
        <v>43</v>
      </c>
      <c r="C33" s="4" t="s">
        <v>13</v>
      </c>
      <c r="D33" s="5">
        <v>1200</v>
      </c>
      <c r="E33" s="6">
        <v>8</v>
      </c>
      <c r="F33" s="5">
        <f t="shared" si="3"/>
        <v>9600</v>
      </c>
    </row>
    <row r="34" spans="1:6" x14ac:dyDescent="0.25">
      <c r="A34" s="4" t="s">
        <v>3</v>
      </c>
      <c r="B34" s="4" t="s">
        <v>46</v>
      </c>
      <c r="C34" s="4" t="s">
        <v>14</v>
      </c>
      <c r="D34" s="5">
        <v>2200</v>
      </c>
      <c r="E34" s="6">
        <v>40</v>
      </c>
      <c r="F34" s="5">
        <f t="shared" si="3"/>
        <v>88000</v>
      </c>
    </row>
    <row r="35" spans="1:6" x14ac:dyDescent="0.25">
      <c r="A35" s="4" t="s">
        <v>4</v>
      </c>
      <c r="B35" s="4" t="s">
        <v>45</v>
      </c>
      <c r="C35" s="4" t="s">
        <v>15</v>
      </c>
      <c r="D35" s="5">
        <v>1400</v>
      </c>
      <c r="E35" s="6">
        <v>12</v>
      </c>
      <c r="F35" s="5">
        <f t="shared" si="3"/>
        <v>16800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EF6713C4-65FF-4E68-9614-39BFD94D3EC0}"/>
</file>

<file path=customXml/itemProps2.xml><?xml version="1.0" encoding="utf-8"?>
<ds:datastoreItem xmlns:ds="http://schemas.openxmlformats.org/officeDocument/2006/customXml" ds:itemID="{47A4D471-ACBE-44E3-96B2-FB34501C1143}"/>
</file>

<file path=customXml/itemProps3.xml><?xml version="1.0" encoding="utf-8"?>
<ds:datastoreItem xmlns:ds="http://schemas.openxmlformats.org/officeDocument/2006/customXml" ds:itemID="{013E70F7-8F10-461C-9DA9-56D83016B48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18</vt:i4>
      </vt:variant>
      <vt:variant>
        <vt:lpstr>Intervalos Nomeados</vt:lpstr>
      </vt:variant>
      <vt:variant>
        <vt:i4>6</vt:i4>
      </vt:variant>
    </vt:vector>
  </HeadingPairs>
  <TitlesOfParts>
    <vt:vector size="24" baseType="lpstr">
      <vt:lpstr>Nome Lista</vt:lpstr>
      <vt:lpstr>Validação</vt:lpstr>
      <vt:lpstr>Rept</vt:lpstr>
      <vt:lpstr>SE</vt:lpstr>
      <vt:lpstr>SE_Controle</vt:lpstr>
      <vt:lpstr>SomaSE</vt:lpstr>
      <vt:lpstr>SomaSES</vt:lpstr>
      <vt:lpstr>SEERRO</vt:lpstr>
      <vt:lpstr>Procv</vt:lpstr>
      <vt:lpstr>Proch</vt:lpstr>
      <vt:lpstr>Corresp</vt:lpstr>
      <vt:lpstr>Indice</vt:lpstr>
      <vt:lpstr>Indice 1</vt:lpstr>
      <vt:lpstr>Escolher</vt:lpstr>
      <vt:lpstr>MédiaSE</vt:lpstr>
      <vt:lpstr>MédiaSES</vt:lpstr>
      <vt:lpstr>Tabela_Dinâmica</vt:lpstr>
      <vt:lpstr>Dados_Tab_Dinâmica</vt:lpstr>
      <vt:lpstr>list1</vt:lpstr>
      <vt:lpstr>list2</vt:lpstr>
      <vt:lpstr>'Nome Lista'!prod</vt:lpstr>
      <vt:lpstr>prod</vt:lpstr>
      <vt:lpstr>'Nome Lista'!tela</vt:lpstr>
      <vt:lpstr>tela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</dc:creator>
  <cp:lastModifiedBy>User</cp:lastModifiedBy>
  <dcterms:created xsi:type="dcterms:W3CDTF">2015-02-14T17:36:10Z</dcterms:created>
  <dcterms:modified xsi:type="dcterms:W3CDTF">2019-05-21T16:50:20Z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