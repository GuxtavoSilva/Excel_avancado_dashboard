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charts/colors10.xml" ContentType="application/vnd.ms-office.chartcolorstyle+xml"/>
  <Override PartName="/xl/charts/style10.xml" ContentType="application/vnd.ms-office.chartstyle+xml"/>
  <Override PartName="/xl/charts/chartEx3.xml" ContentType="application/vnd.ms-office.chartex+xml"/>
  <Override PartName="/xl/worksheets/sheet1.xml" ContentType="application/vnd.openxmlformats-officedocument.spreadsheetml.worksheet+xml"/>
  <Override PartName="/xl/charts/colors8.xml" ContentType="application/vnd.ms-office.chartcolorstyle+xml"/>
  <Override PartName="/xl/drawings/drawing6.xml" ContentType="application/vnd.openxmlformats-officedocument.drawing+xml"/>
  <Override PartName="/xl/charts/chartEx2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1.xml" ContentType="application/vnd.ms-office.chartex+xml"/>
  <Override PartName="/xl/charts/style8.xml" ContentType="application/vnd.ms-office.chartstyle+xml"/>
  <Override PartName="/xl/charts/style7.xml" ContentType="application/vnd.ms-office.chart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olors1.xml" ContentType="application/vnd.ms-office.chartcolorstyle+xml"/>
  <Override PartName="/xl/charts/style1.xml" ContentType="application/vnd.ms-office.chartstyle+xml"/>
  <Override PartName="/xl/charts/chart1.xml" ContentType="application/vnd.openxmlformats-officedocument.drawingml.char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olors7.xml" ContentType="application/vnd.ms-office.chartcolorstyle+xml"/>
  <Override PartName="/xl/drawings/drawing3.xml" ContentType="application/vnd.openxmlformats-officedocument.drawing+xml"/>
  <Override PartName="/xl/charts/style4.xml" ContentType="application/vnd.ms-office.chartstyle+xml"/>
  <Override PartName="/xl/charts/chart4.xml" ContentType="application/vnd.openxmlformats-officedocument.drawingml.chart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5.xml" ContentType="application/vnd.openxmlformats-officedocument.drawingml.chart+xml"/>
  <Override PartName="/xl/charts/style5.xml" ContentType="application/vnd.ms-office.chartstyle+xml"/>
  <Override PartName="/xl/drawings/drawing4.xml" ContentType="application/vnd.openxmlformats-officedocument.drawing+xml"/>
  <Override PartName="/xl/charts/colors4.xml" ContentType="application/vnd.ms-office.chartcolorstyle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ser\Desktop\Arquivos_Gerais\Caderno Exercícios Dashboard 2019\Caderno_Exercícios\"/>
    </mc:Choice>
  </mc:AlternateContent>
  <xr:revisionPtr revIDLastSave="0" documentId="13_ncr:1_{AD0434DC-8D00-452E-A7FD-CCE70FD95CAA}" xr6:coauthVersionLast="36" xr6:coauthVersionMax="36" xr10:uidLastSave="{00000000-0000-0000-0000-000000000000}"/>
  <bookViews>
    <workbookView xWindow="0" yWindow="0" windowWidth="20490" windowHeight="7755" tabRatio="939" xr2:uid="{00000000-000D-0000-FFFF-FFFF00000000}"/>
  </bookViews>
  <sheets>
    <sheet name="Exemplo1" sheetId="17" r:id="rId1"/>
    <sheet name="Exemplo2" sheetId="2" r:id="rId2"/>
    <sheet name="Exemplo3" sheetId="7" r:id="rId3"/>
    <sheet name="Exemplo4" sheetId="24" r:id="rId4"/>
    <sheet name="Exemplo5" sheetId="15" r:id="rId5"/>
    <sheet name="Exemplo6" sheetId="32" r:id="rId6"/>
  </sheets>
  <definedNames>
    <definedName name="_xlchart.v1.0" hidden="1">Exemplo5!$A$4:$B$12</definedName>
    <definedName name="_xlchart.v1.1" hidden="1">Exemplo5!$D$3</definedName>
    <definedName name="_xlchart.v1.10" hidden="1">Exemplo6!$F$2</definedName>
    <definedName name="_xlchart.v1.11" hidden="1">Exemplo6!$F$3:$F$7</definedName>
    <definedName name="_xlchart.v1.12" hidden="1">Exemplo6!$A$3:$B$6</definedName>
    <definedName name="_xlchart.v1.13" hidden="1">Exemplo6!$G$2</definedName>
    <definedName name="_xlchart.v1.14" hidden="1">Exemplo6!$G$3:$G$6</definedName>
    <definedName name="_xlchart.v1.15" hidden="1">Exemplo6!$A$3:$A$7</definedName>
    <definedName name="_xlchart.v1.16" hidden="1">Exemplo6!$F$2</definedName>
    <definedName name="_xlchart.v1.17" hidden="1">Exemplo6!$F$3:$F$7</definedName>
    <definedName name="_xlchart.v1.18" hidden="1">Exemplo6!$A$3:$A$7</definedName>
    <definedName name="_xlchart.v1.19" hidden="1">Exemplo6!$F$2</definedName>
    <definedName name="_xlchart.v1.2" hidden="1">Exemplo5!$D$4:$D$12</definedName>
    <definedName name="_xlchart.v1.20" hidden="1">Exemplo6!$F$3:$F$7</definedName>
    <definedName name="_xlchart.v1.3" hidden="1">Exemplo5!$A$4:$B$12</definedName>
    <definedName name="_xlchart.v1.4" hidden="1">Exemplo5!$D$3</definedName>
    <definedName name="_xlchart.v1.5" hidden="1">Exemplo5!$D$4:$D$12</definedName>
    <definedName name="_xlchart.v1.6" hidden="1">Exemplo5!$A$4:$B$12</definedName>
    <definedName name="_xlchart.v1.7" hidden="1">Exemplo5!$D$3</definedName>
    <definedName name="_xlchart.v1.8" hidden="1">Exemplo5!$D$4:$D$12</definedName>
    <definedName name="_xlchart.v1.9" hidden="1">Exemplo6!$A$3:$A$7</definedName>
    <definedName name="list1" localSheetId="3">#REF!</definedName>
    <definedName name="list1" localSheetId="5">#REF!</definedName>
    <definedName name="list1">#REF!</definedName>
    <definedName name="prod" localSheetId="5">#REF!</definedName>
    <definedName name="prod">#REF!</definedName>
    <definedName name="tela" localSheetId="5">#REF!</definedName>
    <definedName name="tel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32" l="1"/>
  <c r="D7" i="32"/>
  <c r="C7" i="32"/>
  <c r="F6" i="32"/>
  <c r="F5" i="32"/>
  <c r="F4" i="32"/>
  <c r="F3" i="32"/>
  <c r="F7" i="32" l="1"/>
  <c r="G4" i="32" s="1"/>
  <c r="G3" i="32"/>
  <c r="F8" i="32" l="1"/>
  <c r="E8" i="32"/>
  <c r="C8" i="32"/>
  <c r="G5" i="32"/>
  <c r="G7" i="32"/>
  <c r="G6" i="32"/>
  <c r="D8" i="32"/>
  <c r="C7" i="24" l="1"/>
  <c r="D7" i="24"/>
  <c r="B7" i="24"/>
  <c r="E6" i="24"/>
  <c r="E5" i="24"/>
  <c r="E4" i="24"/>
  <c r="E3" i="24"/>
  <c r="C7" i="17"/>
  <c r="D7" i="17"/>
  <c r="C8" i="17"/>
  <c r="D8" i="17"/>
  <c r="B8" i="17"/>
  <c r="B7" i="17"/>
  <c r="E4" i="17"/>
  <c r="F4" i="17"/>
  <c r="E5" i="17"/>
  <c r="F5" i="17"/>
  <c r="E6" i="17"/>
  <c r="F6" i="17"/>
  <c r="F3" i="17"/>
  <c r="E3" i="17"/>
  <c r="F5" i="7"/>
  <c r="G5" i="7" s="1"/>
  <c r="F6" i="7"/>
  <c r="G6" i="7" s="1"/>
  <c r="F7" i="7"/>
  <c r="G7" i="7" s="1"/>
  <c r="F8" i="7"/>
  <c r="G8" i="7" s="1"/>
  <c r="F9" i="7"/>
  <c r="G9" i="7" s="1"/>
  <c r="F10" i="7"/>
  <c r="G10" i="7" s="1"/>
  <c r="F11" i="7"/>
  <c r="G11" i="7" s="1"/>
  <c r="F12" i="7"/>
  <c r="G12" i="7" s="1"/>
  <c r="F13" i="7"/>
  <c r="G13" i="7" s="1"/>
  <c r="F4" i="7"/>
  <c r="G4" i="7" s="1"/>
  <c r="E8" i="17" l="1"/>
  <c r="E7" i="17"/>
  <c r="E7" i="24"/>
  <c r="C8" i="24" s="1"/>
  <c r="F4" i="24" l="1"/>
  <c r="F5" i="24"/>
  <c r="E8" i="24"/>
  <c r="F6" i="24"/>
  <c r="F7" i="24"/>
  <c r="F3" i="24"/>
  <c r="B8" i="24"/>
  <c r="D8" i="24"/>
  <c r="E12" i="15"/>
  <c r="E11" i="15"/>
  <c r="E10" i="15"/>
  <c r="E9" i="15"/>
  <c r="E8" i="15"/>
  <c r="E7" i="15"/>
  <c r="H7" i="15" s="1"/>
  <c r="E6" i="15"/>
  <c r="H6" i="15" s="1"/>
  <c r="E5" i="15"/>
  <c r="H5" i="15" s="1"/>
  <c r="E4" i="15"/>
  <c r="H4" i="15" s="1"/>
  <c r="E8" i="7"/>
  <c r="E9" i="7"/>
  <c r="E10" i="7"/>
  <c r="E11" i="7"/>
  <c r="E12" i="7"/>
  <c r="E13" i="7"/>
  <c r="E7" i="7"/>
  <c r="E6" i="7"/>
  <c r="E5" i="7"/>
  <c r="E4" i="7"/>
  <c r="H8" i="15" l="1"/>
</calcChain>
</file>

<file path=xl/sharedStrings.xml><?xml version="1.0" encoding="utf-8"?>
<sst xmlns="http://schemas.openxmlformats.org/spreadsheetml/2006/main" count="110" uniqueCount="40">
  <si>
    <t>Produtos eletrônicos</t>
  </si>
  <si>
    <t>Quantidade</t>
  </si>
  <si>
    <t>TV</t>
  </si>
  <si>
    <t>Celular</t>
  </si>
  <si>
    <t>Tablet</t>
  </si>
  <si>
    <t>iPad</t>
  </si>
  <si>
    <t>Valor Total</t>
  </si>
  <si>
    <t>J</t>
  </si>
  <si>
    <t>K</t>
  </si>
  <si>
    <t>L</t>
  </si>
  <si>
    <t>Tela</t>
  </si>
  <si>
    <t>50 Pol</t>
  </si>
  <si>
    <t>10 Pol</t>
  </si>
  <si>
    <t>12 Pol</t>
  </si>
  <si>
    <t>Preço Unitário</t>
  </si>
  <si>
    <t>Valor Total por produto</t>
  </si>
  <si>
    <t>Total Geral</t>
  </si>
  <si>
    <t>Resultados condicionais</t>
  </si>
  <si>
    <t>Fatura por produto</t>
  </si>
  <si>
    <t>Ótimo</t>
  </si>
  <si>
    <t>Bom</t>
  </si>
  <si>
    <t>Resultado</t>
  </si>
  <si>
    <t>Valor</t>
  </si>
  <si>
    <t>Reajuste</t>
  </si>
  <si>
    <t>Total com Reajuste</t>
  </si>
  <si>
    <t>Data Pedido</t>
  </si>
  <si>
    <t>Jan</t>
  </si>
  <si>
    <t>Fev</t>
  </si>
  <si>
    <t>Mar</t>
  </si>
  <si>
    <t>Qtd - Produtos meses</t>
  </si>
  <si>
    <t>Total</t>
  </si>
  <si>
    <t>Média</t>
  </si>
  <si>
    <t>Total %</t>
  </si>
  <si>
    <t>Vendas 1</t>
  </si>
  <si>
    <t>Vendas 2</t>
  </si>
  <si>
    <t>Vendas 3</t>
  </si>
  <si>
    <t>Resultado Estatístico</t>
  </si>
  <si>
    <t>Loja</t>
  </si>
  <si>
    <t>Centro</t>
  </si>
  <si>
    <t>Shopping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</si>
</sst>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&quot;R$&quot;\ * #,##0.00_-;\-&quot;R$&quot;\ * #,##0.00_-;_-&quot;R$&quot;\ * &quot;-&quot;??_-;_-@_-"/>
    <numFmt numFmtId="165" formatCode="_-* #,##0_-;\-* #,##0_-;_-* &quot;-&quot;??_-;_-@_-"/>
    <numFmt numFmtId="166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Wingdings"/>
      <charset val="2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164" fontId="0" fillId="0" borderId="0" xfId="2" applyFont="1"/>
    <xf numFmtId="0" fontId="2" fillId="0" borderId="1" xfId="0" applyFont="1" applyBorder="1"/>
    <xf numFmtId="164" fontId="2" fillId="0" borderId="1" xfId="2" applyFont="1" applyBorder="1"/>
    <xf numFmtId="0" fontId="0" fillId="0" borderId="1" xfId="0" applyBorder="1"/>
    <xf numFmtId="164" fontId="0" fillId="0" borderId="1" xfId="2" applyFont="1" applyBorder="1"/>
    <xf numFmtId="165" fontId="0" fillId="0" borderId="1" xfId="1" applyNumberFormat="1" applyFont="1" applyBorder="1"/>
    <xf numFmtId="164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164" fontId="4" fillId="0" borderId="1" xfId="2" applyFont="1" applyBorder="1" applyAlignment="1">
      <alignment horizontal="center" vertical="center" wrapText="1"/>
    </xf>
    <xf numFmtId="0" fontId="5" fillId="0" borderId="0" xfId="0" applyFont="1"/>
    <xf numFmtId="0" fontId="3" fillId="0" borderId="1" xfId="0" applyFont="1" applyBorder="1" applyAlignment="1">
      <alignment horizontal="center" vertical="center" wrapText="1"/>
    </xf>
    <xf numFmtId="164" fontId="3" fillId="0" borderId="1" xfId="2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2" fillId="0" borderId="1" xfId="2" applyNumberFormat="1" applyFont="1" applyBorder="1"/>
    <xf numFmtId="166" fontId="2" fillId="0" borderId="1" xfId="2" applyNumberFormat="1" applyFont="1" applyBorder="1"/>
    <xf numFmtId="164" fontId="7" fillId="0" borderId="1" xfId="2" applyFont="1" applyBorder="1"/>
    <xf numFmtId="166" fontId="0" fillId="0" borderId="1" xfId="3" applyNumberFormat="1" applyFont="1" applyBorder="1"/>
    <xf numFmtId="14" fontId="0" fillId="0" borderId="1" xfId="0" applyNumberFormat="1" applyBorder="1" applyAlignment="1">
      <alignment horizontal="left"/>
    </xf>
    <xf numFmtId="0" fontId="2" fillId="0" borderId="1" xfId="0" applyFont="1" applyBorder="1" applyAlignment="1">
      <alignment horizontal="left" vertical="center" wrapText="1"/>
    </xf>
    <xf numFmtId="165" fontId="2" fillId="0" borderId="1" xfId="1" applyNumberFormat="1" applyFont="1" applyBorder="1"/>
    <xf numFmtId="166" fontId="0" fillId="0" borderId="0" xfId="2" applyNumberFormat="1" applyFont="1"/>
    <xf numFmtId="0" fontId="0" fillId="0" borderId="1" xfId="0" applyBorder="1" applyAlignment="1">
      <alignment horizontal="center"/>
    </xf>
    <xf numFmtId="0" fontId="6" fillId="2" borderId="2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 wrapText="1"/>
    </xf>
  </cellXfs>
  <cellStyles count="4">
    <cellStyle name="Moeda" xfId="2" builtinId="4"/>
    <cellStyle name="Normal" xfId="0" builtinId="0"/>
    <cellStyle name="Porcentagem" xfId="3" builtinId="5"/>
    <cellStyle name="Vírgula" xfId="1" builtinId="3"/>
  </cellStyles>
  <dxfs count="2">
    <dxf>
      <font>
        <color rgb="FF0070C0"/>
      </font>
    </dxf>
    <dxf>
      <font>
        <color theme="5"/>
      </font>
    </dxf>
  </dxfs>
  <tableStyles count="0" defaultTableStyle="TableStyleMedium2" defaultPivotStyle="PivotStyleLight16"/>
  <colors>
    <mruColors>
      <color rgb="FFA50021"/>
      <color rgb="FF0000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Qtd meses e totais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Exemplo1!$B$2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Exemplo1!$A$3:$A$7</c:f>
              <c:strCache>
                <c:ptCount val="5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  <c:pt idx="4">
                  <c:v>Total</c:v>
                </c:pt>
              </c:strCache>
            </c:strRef>
          </c:cat>
          <c:val>
            <c:numRef>
              <c:f>Exemplo1!$B$3:$B$7</c:f>
              <c:numCache>
                <c:formatCode>_-* #,##0_-;\-* #,##0_-;_-* "-"??_-;_-@_-</c:formatCode>
                <c:ptCount val="5"/>
                <c:pt idx="0">
                  <c:v>300</c:v>
                </c:pt>
                <c:pt idx="1">
                  <c:v>320</c:v>
                </c:pt>
                <c:pt idx="2">
                  <c:v>400</c:v>
                </c:pt>
                <c:pt idx="3">
                  <c:v>290</c:v>
                </c:pt>
                <c:pt idx="4">
                  <c:v>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DF-4004-847D-271A245E4D7B}"/>
            </c:ext>
          </c:extLst>
        </c:ser>
        <c:ser>
          <c:idx val="1"/>
          <c:order val="1"/>
          <c:tx>
            <c:strRef>
              <c:f>Exemplo1!$C$2</c:f>
              <c:strCache>
                <c:ptCount val="1"/>
                <c:pt idx="0">
                  <c:v>Fev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Exemplo1!$A$3:$A$7</c:f>
              <c:strCache>
                <c:ptCount val="5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  <c:pt idx="4">
                  <c:v>Total</c:v>
                </c:pt>
              </c:strCache>
            </c:strRef>
          </c:cat>
          <c:val>
            <c:numRef>
              <c:f>Exemplo1!$C$3:$C$7</c:f>
              <c:numCache>
                <c:formatCode>_-* #,##0_-;\-* #,##0_-;_-* "-"??_-;_-@_-</c:formatCode>
                <c:ptCount val="5"/>
                <c:pt idx="0">
                  <c:v>350</c:v>
                </c:pt>
                <c:pt idx="1">
                  <c:v>300</c:v>
                </c:pt>
                <c:pt idx="2">
                  <c:v>350</c:v>
                </c:pt>
                <c:pt idx="3">
                  <c:v>400</c:v>
                </c:pt>
                <c:pt idx="4">
                  <c:v>1400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DF-4004-847D-271A245E4D7B}"/>
            </c:ext>
          </c:extLst>
        </c:ser>
        <c:ser>
          <c:idx val="2"/>
          <c:order val="2"/>
          <c:tx>
            <c:strRef>
              <c:f>Exemplo1!$D$2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Exemplo1!$A$3:$A$7</c:f>
              <c:strCache>
                <c:ptCount val="5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  <c:pt idx="4">
                  <c:v>Total</c:v>
                </c:pt>
              </c:strCache>
            </c:strRef>
          </c:cat>
          <c:val>
            <c:numRef>
              <c:f>Exemplo1!$D$3:$D$7</c:f>
              <c:numCache>
                <c:formatCode>_-* #,##0_-;\-* #,##0_-;_-* "-"??_-;_-@_-</c:formatCode>
                <c:ptCount val="5"/>
                <c:pt idx="0">
                  <c:v>200</c:v>
                </c:pt>
                <c:pt idx="1">
                  <c:v>280</c:v>
                </c:pt>
                <c:pt idx="2">
                  <c:v>380</c:v>
                </c:pt>
                <c:pt idx="3">
                  <c:v>370</c:v>
                </c:pt>
                <c:pt idx="4">
                  <c:v>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DF-4004-847D-271A245E4D7B}"/>
            </c:ext>
          </c:extLst>
        </c:ser>
        <c:ser>
          <c:idx val="3"/>
          <c:order val="3"/>
          <c:tx>
            <c:strRef>
              <c:f>Exemplo1!$E$2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Exemplo1!$A$3:$A$7</c:f>
              <c:strCache>
                <c:ptCount val="5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  <c:pt idx="4">
                  <c:v>Total</c:v>
                </c:pt>
              </c:strCache>
            </c:strRef>
          </c:cat>
          <c:val>
            <c:numRef>
              <c:f>Exemplo1!$E$3:$E$7</c:f>
              <c:numCache>
                <c:formatCode>_-* #,##0_-;\-* #,##0_-;_-* "-"??_-;_-@_-</c:formatCode>
                <c:ptCount val="5"/>
                <c:pt idx="0">
                  <c:v>850</c:v>
                </c:pt>
                <c:pt idx="1">
                  <c:v>900</c:v>
                </c:pt>
                <c:pt idx="2">
                  <c:v>1130</c:v>
                </c:pt>
                <c:pt idx="3">
                  <c:v>1060</c:v>
                </c:pt>
                <c:pt idx="4">
                  <c:v>3940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DF-4004-847D-271A245E4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322920"/>
        <c:axId val="4323312"/>
      </c:barChart>
      <c:catAx>
        <c:axId val="4322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23312"/>
        <c:crosses val="autoZero"/>
        <c:auto val="1"/>
        <c:lblAlgn val="ctr"/>
        <c:lblOffset val="100"/>
        <c:noMultiLvlLbl val="0"/>
      </c:catAx>
      <c:valAx>
        <c:axId val="4323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2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Exemplo1!$A$1</c:f>
          <c:strCache>
            <c:ptCount val="1"/>
            <c:pt idx="0">
              <c:v>Qtd - Produtos meses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Exemplo1!$B$2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Exemplo1!$A$3:$A$6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Exemplo1!$B$3:$B$6</c:f>
              <c:numCache>
                <c:formatCode>_-* #,##0_-;\-* #,##0_-;_-* "-"??_-;_-@_-</c:formatCode>
                <c:ptCount val="4"/>
                <c:pt idx="0">
                  <c:v>300</c:v>
                </c:pt>
                <c:pt idx="1">
                  <c:v>320</c:v>
                </c:pt>
                <c:pt idx="2">
                  <c:v>400</c:v>
                </c:pt>
                <c:pt idx="3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17-48A6-B20A-ABC8A7F539E5}"/>
            </c:ext>
          </c:extLst>
        </c:ser>
        <c:ser>
          <c:idx val="1"/>
          <c:order val="1"/>
          <c:tx>
            <c:strRef>
              <c:f>Exemplo1!$C$2</c:f>
              <c:strCache>
                <c:ptCount val="1"/>
                <c:pt idx="0">
                  <c:v>Fev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Exemplo1!$A$3:$A$6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Exemplo1!$C$3:$C$6</c:f>
              <c:numCache>
                <c:formatCode>_-* #,##0_-;\-* #,##0_-;_-* "-"??_-;_-@_-</c:formatCode>
                <c:ptCount val="4"/>
                <c:pt idx="0">
                  <c:v>350</c:v>
                </c:pt>
                <c:pt idx="1">
                  <c:v>300</c:v>
                </c:pt>
                <c:pt idx="2">
                  <c:v>350</c:v>
                </c:pt>
                <c:pt idx="3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17-48A6-B20A-ABC8A7F539E5}"/>
            </c:ext>
          </c:extLst>
        </c:ser>
        <c:ser>
          <c:idx val="2"/>
          <c:order val="2"/>
          <c:tx>
            <c:strRef>
              <c:f>Exemplo1!$D$2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Exemplo1!$A$3:$A$6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Exemplo1!$D$3:$D$6</c:f>
              <c:numCache>
                <c:formatCode>_-* #,##0_-;\-* #,##0_-;_-* "-"??_-;_-@_-</c:formatCode>
                <c:ptCount val="4"/>
                <c:pt idx="0">
                  <c:v>200</c:v>
                </c:pt>
                <c:pt idx="1">
                  <c:v>280</c:v>
                </c:pt>
                <c:pt idx="2">
                  <c:v>380</c:v>
                </c:pt>
                <c:pt idx="3">
                  <c:v>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17-48A6-B20A-ABC8A7F53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313616"/>
        <c:axId val="234314008"/>
      </c:barChart>
      <c:catAx>
        <c:axId val="23431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4314008"/>
        <c:crosses val="autoZero"/>
        <c:auto val="1"/>
        <c:lblAlgn val="ctr"/>
        <c:lblOffset val="100"/>
        <c:noMultiLvlLbl val="0"/>
      </c:catAx>
      <c:valAx>
        <c:axId val="23431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431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Resultado Estatístico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Exemplo2!$B$3</c:f>
              <c:strCache>
                <c:ptCount val="1"/>
                <c:pt idx="0">
                  <c:v> Vendas 1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Exemplo2!$A$4:$A$7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Exemplo2!$B$4:$B$7</c:f>
              <c:numCache>
                <c:formatCode>0.0%</c:formatCode>
                <c:ptCount val="4"/>
                <c:pt idx="0">
                  <c:v>0.22500000000000001</c:v>
                </c:pt>
                <c:pt idx="1">
                  <c:v>0.16500000000000001</c:v>
                </c:pt>
                <c:pt idx="2">
                  <c:v>0.23</c:v>
                </c:pt>
                <c:pt idx="3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E0-4CE6-B532-9E61606C3756}"/>
            </c:ext>
          </c:extLst>
        </c:ser>
        <c:ser>
          <c:idx val="1"/>
          <c:order val="1"/>
          <c:tx>
            <c:strRef>
              <c:f>Exemplo2!$C$3</c:f>
              <c:strCache>
                <c:ptCount val="1"/>
                <c:pt idx="0">
                  <c:v> Vendas 2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Exemplo2!$A$4:$A$7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Exemplo2!$C$4:$C$7</c:f>
              <c:numCache>
                <c:formatCode>0.0%</c:formatCode>
                <c:ptCount val="4"/>
                <c:pt idx="0">
                  <c:v>0.14899999999999999</c:v>
                </c:pt>
                <c:pt idx="1">
                  <c:v>0.35499999999999998</c:v>
                </c:pt>
                <c:pt idx="2">
                  <c:v>0.28699999999999998</c:v>
                </c:pt>
                <c:pt idx="3">
                  <c:v>0.20899999999999999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E0-4CE6-B532-9E61606C3756}"/>
            </c:ext>
          </c:extLst>
        </c:ser>
        <c:ser>
          <c:idx val="2"/>
          <c:order val="2"/>
          <c:tx>
            <c:strRef>
              <c:f>Exemplo2!$D$3</c:f>
              <c:strCache>
                <c:ptCount val="1"/>
                <c:pt idx="0">
                  <c:v>Vendas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Exemplo2!$A$4:$A$7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Exemplo2!$D$4:$D$7</c:f>
              <c:numCache>
                <c:formatCode>0.0%</c:formatCode>
                <c:ptCount val="4"/>
                <c:pt idx="0">
                  <c:v>0.36</c:v>
                </c:pt>
                <c:pt idx="1">
                  <c:v>0.24</c:v>
                </c:pt>
                <c:pt idx="2">
                  <c:v>0.2</c:v>
                </c:pt>
                <c:pt idx="3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E0-4CE6-B532-9E61606C3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314792"/>
        <c:axId val="234315184"/>
      </c:lineChart>
      <c:catAx>
        <c:axId val="234314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4315184"/>
        <c:crosses val="autoZero"/>
        <c:auto val="1"/>
        <c:lblAlgn val="ctr"/>
        <c:lblOffset val="100"/>
        <c:noMultiLvlLbl val="0"/>
      </c:catAx>
      <c:valAx>
        <c:axId val="23431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431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6855956553250532"/>
          <c:y val="0.17229938567371009"/>
          <c:w val="0.40284775869063816"/>
          <c:h val="0.81457349969469939"/>
        </c:manualLayout>
      </c:layout>
      <c:pieChart>
        <c:varyColors val="1"/>
        <c:ser>
          <c:idx val="0"/>
          <c:order val="0"/>
          <c:tx>
            <c:strRef>
              <c:f>Exemplo3!$G$3</c:f>
              <c:strCache>
                <c:ptCount val="1"/>
                <c:pt idx="0">
                  <c:v>Total com Reajuste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8C9-4C34-A6D2-476CC6630A7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8C9-4C34-A6D2-476CC6630A7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8C9-4C34-A6D2-476CC6630A7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8C9-4C34-A6D2-476CC6630A73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8C9-4C34-A6D2-476CC6630A73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8C9-4C34-A6D2-476CC6630A73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8C9-4C34-A6D2-476CC6630A73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8C9-4C34-A6D2-476CC6630A73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8C9-4C34-A6D2-476CC6630A73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48C9-4C34-A6D2-476CC6630A7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12700">
                  <a:solidFill>
                    <a:schemeClr val="tx1"/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Exemplo3!$A$4:$A$13</c:f>
              <c:numCache>
                <c:formatCode>m/d/yyyy</c:formatCode>
                <c:ptCount val="10"/>
                <c:pt idx="0">
                  <c:v>42417</c:v>
                </c:pt>
                <c:pt idx="1">
                  <c:v>42418</c:v>
                </c:pt>
                <c:pt idx="2">
                  <c:v>42419</c:v>
                </c:pt>
                <c:pt idx="3">
                  <c:v>42420</c:v>
                </c:pt>
                <c:pt idx="4">
                  <c:v>42421</c:v>
                </c:pt>
                <c:pt idx="5">
                  <c:v>42422</c:v>
                </c:pt>
                <c:pt idx="6">
                  <c:v>42423</c:v>
                </c:pt>
                <c:pt idx="7">
                  <c:v>42424</c:v>
                </c:pt>
                <c:pt idx="8">
                  <c:v>42425</c:v>
                </c:pt>
                <c:pt idx="9">
                  <c:v>42426</c:v>
                </c:pt>
              </c:numCache>
            </c:numRef>
          </c:cat>
          <c:val>
            <c:numRef>
              <c:f>Exemplo3!$G$4:$G$13</c:f>
              <c:numCache>
                <c:formatCode>_-"R$"\ * #,##0.00_-;\-"R$"\ * #,##0.00_-;_-"R$"\ * "-"??_-;_-@_-</c:formatCode>
                <c:ptCount val="10"/>
                <c:pt idx="0">
                  <c:v>11016</c:v>
                </c:pt>
                <c:pt idx="1">
                  <c:v>33660</c:v>
                </c:pt>
                <c:pt idx="2">
                  <c:v>144228</c:v>
                </c:pt>
                <c:pt idx="3">
                  <c:v>28123.200000000001</c:v>
                </c:pt>
                <c:pt idx="4">
                  <c:v>9792</c:v>
                </c:pt>
                <c:pt idx="5">
                  <c:v>269280</c:v>
                </c:pt>
                <c:pt idx="6">
                  <c:v>17136</c:v>
                </c:pt>
                <c:pt idx="7">
                  <c:v>49896</c:v>
                </c:pt>
                <c:pt idx="8">
                  <c:v>244800</c:v>
                </c:pt>
                <c:pt idx="9">
                  <c:v>67320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8C9-4C34-A6D2-476CC6630A7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 sz="800" b="1"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 e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Exemplo4!$E$2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Exemplo4!$A$3:$A$6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Exemplo4!$E$3:$E$6</c:f>
              <c:numCache>
                <c:formatCode>_-* #,##0_-;\-* #,##0_-;_-* "-"??_-;_-@_-</c:formatCode>
                <c:ptCount val="4"/>
                <c:pt idx="0">
                  <c:v>850</c:v>
                </c:pt>
                <c:pt idx="1">
                  <c:v>900</c:v>
                </c:pt>
                <c:pt idx="2">
                  <c:v>1130</c:v>
                </c:pt>
                <c:pt idx="3">
                  <c:v>1060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95-429B-9EBC-55583CCD1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4316360"/>
        <c:axId val="234316752"/>
      </c:barChart>
      <c:lineChart>
        <c:grouping val="standard"/>
        <c:varyColors val="0"/>
        <c:ser>
          <c:idx val="1"/>
          <c:order val="1"/>
          <c:tx>
            <c:strRef>
              <c:f>Exemplo4!$F$2</c:f>
              <c:strCache>
                <c:ptCount val="1"/>
                <c:pt idx="0">
                  <c:v>Total %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cat>
            <c:strRef>
              <c:f>Exemplo4!$A$3:$A$6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Exemplo4!$F$3:$F$6</c:f>
              <c:numCache>
                <c:formatCode>0.0%</c:formatCode>
                <c:ptCount val="4"/>
                <c:pt idx="0">
                  <c:v>0.21573604060913706</c:v>
                </c:pt>
                <c:pt idx="1">
                  <c:v>0.22842639593908629</c:v>
                </c:pt>
                <c:pt idx="2">
                  <c:v>0.28680203045685282</c:v>
                </c:pt>
                <c:pt idx="3">
                  <c:v>0.26903553299492383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95-429B-9EBC-55583CCD1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235528"/>
        <c:axId val="234317144"/>
      </c:lineChart>
      <c:catAx>
        <c:axId val="23431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4316752"/>
        <c:crosses val="autoZero"/>
        <c:auto val="1"/>
        <c:lblAlgn val="ctr"/>
        <c:lblOffset val="100"/>
        <c:noMultiLvlLbl val="0"/>
      </c:catAx>
      <c:valAx>
        <c:axId val="23431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4316360"/>
        <c:crosses val="autoZero"/>
        <c:crossBetween val="between"/>
      </c:valAx>
      <c:valAx>
        <c:axId val="234317144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4235528"/>
        <c:crosses val="max"/>
        <c:crossBetween val="between"/>
      </c:valAx>
      <c:catAx>
        <c:axId val="234235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343171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Exemplo5!$H$3</c:f>
              <c:strCache>
                <c:ptCount val="1"/>
                <c:pt idx="0">
                  <c:v> Valor Total por produto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D30-45DB-94D2-6F8B5B6BC96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6D30-45DB-94D2-6F8B5B6BC96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6D30-45DB-94D2-6F8B5B6BC96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6D30-45DB-94D2-6F8B5B6BC96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Exemplo5!$G$4:$G$7</c:f>
              <c:strCache>
                <c:ptCount val="4"/>
                <c:pt idx="0">
                  <c:v>TV</c:v>
                </c:pt>
                <c:pt idx="1">
                  <c:v>Celular</c:v>
                </c:pt>
                <c:pt idx="2">
                  <c:v>Tablet</c:v>
                </c:pt>
                <c:pt idx="3">
                  <c:v>iPad</c:v>
                </c:pt>
              </c:strCache>
            </c:strRef>
          </c:cat>
          <c:val>
            <c:numRef>
              <c:f>Exemplo5!$H$4:$H$7</c:f>
              <c:numCache>
                <c:formatCode>_-"R$"\ * #,##0.00_-;\-"R$"\ * #,##0.00_-;_-"R$"\ * "-"??_-;_-@_-</c:formatCode>
                <c:ptCount val="4"/>
                <c:pt idx="0">
                  <c:v>52800</c:v>
                </c:pt>
                <c:pt idx="1">
                  <c:v>158400</c:v>
                </c:pt>
                <c:pt idx="2">
                  <c:v>56000</c:v>
                </c:pt>
                <c:pt idx="3">
                  <c:v>85500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30-45DB-94D2-6F8B5B6BC96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Exemplo5!$A$1</c:f>
          <c:strCache>
            <c:ptCount val="1"/>
            <c:pt idx="0">
              <c:v>Fatura por produto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Exemplo5!$C$3</c:f>
              <c:strCache>
                <c:ptCount val="1"/>
                <c:pt idx="0">
                  <c:v> Preço Unitário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Exemplo5!$A$4:$A$12</c:f>
              <c:strCache>
                <c:ptCount val="9"/>
                <c:pt idx="0">
                  <c:v>TV</c:v>
                </c:pt>
                <c:pt idx="1">
                  <c:v>Celular</c:v>
                </c:pt>
                <c:pt idx="2">
                  <c:v>Tablet</c:v>
                </c:pt>
                <c:pt idx="3">
                  <c:v>iPad</c:v>
                </c:pt>
                <c:pt idx="4">
                  <c:v>TV</c:v>
                </c:pt>
                <c:pt idx="5">
                  <c:v>Celular</c:v>
                </c:pt>
                <c:pt idx="6">
                  <c:v>Tablet</c:v>
                </c:pt>
                <c:pt idx="7">
                  <c:v>iPad</c:v>
                </c:pt>
                <c:pt idx="8">
                  <c:v>TV</c:v>
                </c:pt>
              </c:strCache>
            </c:strRef>
          </c:cat>
          <c:val>
            <c:numRef>
              <c:f>Exemplo5!$C$4:$C$12</c:f>
              <c:numCache>
                <c:formatCode>_-"R$"\ * #,##0.00_-;\-"R$"\ * #,##0.00_-;_-"R$"\ * "-"??_-;_-@_-</c:formatCode>
                <c:ptCount val="9"/>
                <c:pt idx="0">
                  <c:v>1200</c:v>
                </c:pt>
                <c:pt idx="1">
                  <c:v>2200</c:v>
                </c:pt>
                <c:pt idx="2">
                  <c:v>1400</c:v>
                </c:pt>
                <c:pt idx="3">
                  <c:v>900</c:v>
                </c:pt>
                <c:pt idx="4">
                  <c:v>1200</c:v>
                </c:pt>
                <c:pt idx="5">
                  <c:v>2200</c:v>
                </c:pt>
                <c:pt idx="6">
                  <c:v>1400</c:v>
                </c:pt>
                <c:pt idx="7">
                  <c:v>900</c:v>
                </c:pt>
                <c:pt idx="8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9-4E3C-A0C5-39FE16D6B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8689232"/>
        <c:axId val="548690872"/>
      </c:barChart>
      <c:lineChart>
        <c:grouping val="standard"/>
        <c:varyColors val="0"/>
        <c:ser>
          <c:idx val="1"/>
          <c:order val="1"/>
          <c:tx>
            <c:strRef>
              <c:f>Exemplo5!$D$3</c:f>
              <c:strCache>
                <c:ptCount val="1"/>
                <c:pt idx="0">
                  <c:v> Quantidade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Exemplo5!$A$4:$A$12</c:f>
              <c:strCache>
                <c:ptCount val="9"/>
                <c:pt idx="0">
                  <c:v>TV</c:v>
                </c:pt>
                <c:pt idx="1">
                  <c:v>Celular</c:v>
                </c:pt>
                <c:pt idx="2">
                  <c:v>Tablet</c:v>
                </c:pt>
                <c:pt idx="3">
                  <c:v>iPad</c:v>
                </c:pt>
                <c:pt idx="4">
                  <c:v>TV</c:v>
                </c:pt>
                <c:pt idx="5">
                  <c:v>Celular</c:v>
                </c:pt>
                <c:pt idx="6">
                  <c:v>Tablet</c:v>
                </c:pt>
                <c:pt idx="7">
                  <c:v>iPad</c:v>
                </c:pt>
                <c:pt idx="8">
                  <c:v>TV</c:v>
                </c:pt>
              </c:strCache>
            </c:strRef>
          </c:cat>
          <c:val>
            <c:numRef>
              <c:f>Exemplo5!$D$4:$D$12</c:f>
              <c:numCache>
                <c:formatCode>_-* #,##0_-;\-* #,##0_-;_-* "-"??_-;_-@_-</c:formatCode>
                <c:ptCount val="9"/>
                <c:pt idx="0">
                  <c:v>10</c:v>
                </c:pt>
                <c:pt idx="1">
                  <c:v>32</c:v>
                </c:pt>
                <c:pt idx="2">
                  <c:v>28</c:v>
                </c:pt>
                <c:pt idx="3">
                  <c:v>40</c:v>
                </c:pt>
                <c:pt idx="4">
                  <c:v>8</c:v>
                </c:pt>
                <c:pt idx="5">
                  <c:v>40</c:v>
                </c:pt>
                <c:pt idx="6">
                  <c:v>12</c:v>
                </c:pt>
                <c:pt idx="7">
                  <c:v>55</c:v>
                </c:pt>
                <c:pt idx="8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E9-4E3C-A0C5-39FE16D6B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713032"/>
        <c:axId val="548714344"/>
      </c:lineChart>
      <c:catAx>
        <c:axId val="54868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8690872"/>
        <c:crosses val="autoZero"/>
        <c:auto val="1"/>
        <c:lblAlgn val="ctr"/>
        <c:lblOffset val="100"/>
        <c:noMultiLvlLbl val="0"/>
      </c:catAx>
      <c:valAx>
        <c:axId val="54869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8689232"/>
        <c:crosses val="autoZero"/>
        <c:crossBetween val="between"/>
      </c:valAx>
      <c:valAx>
        <c:axId val="548714344"/>
        <c:scaling>
          <c:orientation val="minMax"/>
        </c:scaling>
        <c:delete val="0"/>
        <c:axPos val="r"/>
        <c:numFmt formatCode="_-* #,##0_-;\-* #,##0_-;_-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8713032"/>
        <c:crosses val="max"/>
        <c:crossBetween val="between"/>
      </c:valAx>
      <c:catAx>
        <c:axId val="5487130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871434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plotArea>
      <cx:plotAreaRegion>
        <cx:series layoutId="treemap" uniqueId="{49D1ECD2-2E5A-4A69-B814-87FF47C41DD1}">
          <cx:tx>
            <cx:txData>
              <cx:f>_xlchart.v1.1</cx:f>
              <cx:v> Quantidade </cx:v>
            </cx:txData>
          </cx:tx>
          <cx:dataLabels pos="inEnd"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_xlchart.v1.12</cx:f>
      </cx:strDim>
      <cx:numDim type="size">
        <cx:f>_xlchart.v1.14</cx:f>
      </cx:numDim>
    </cx:data>
  </cx:chartData>
  <cx:chart>
    <cx:title pos="t" align="ctr" overlay="0">
      <cx:tx>
        <cx:txData>
          <cx:v>Qtd - Pordutos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 b="1">
              <a:solidFill>
                <a:sysClr val="windowText" lastClr="000000"/>
              </a:solidFill>
            </a:defRPr>
          </a:pPr>
          <a:r>
            <a:rPr lang="pt-BR" b="1">
              <a:solidFill>
                <a:sysClr val="windowText" lastClr="000000"/>
              </a:solidFill>
            </a:rPr>
            <a:t>Qtd - Pordutos</a:t>
          </a:r>
        </a:p>
      </cx:txPr>
    </cx:title>
    <cx:plotArea>
      <cx:plotAreaRegion>
        <cx:series layoutId="sunburst" uniqueId="{2C002CCA-E935-4D92-95FD-0B724D02AA59}">
          <cx:tx>
            <cx:txData>
              <cx:f>_xlchart.v1.13</cx:f>
              <cx:v>Total %</cx:v>
            </cx:txData>
          </cx:tx>
          <cx:dataPt idx="0">
            <cx:spPr>
              <a:solidFill>
                <a:srgbClr val="FF0000"/>
              </a:solidFill>
            </cx:spPr>
          </cx:dataPt>
          <cx:dataPt idx="2">
            <cx:spPr>
              <a:solidFill>
                <a:srgbClr val="A50021"/>
              </a:solidFill>
            </cx:spPr>
          </cx:dataPt>
          <cx:dataPt idx="3">
            <cx:spPr>
              <a:solidFill>
                <a:srgbClr val="0070C0"/>
              </a:solidFill>
            </cx:spPr>
          </cx:dataPt>
          <cx:dataPt idx="4">
            <cx:spPr>
              <a:solidFill>
                <a:srgbClr val="FFC000"/>
              </a:solidFill>
            </cx:spPr>
          </cx:dataPt>
          <cx:dataLabels pos="ctr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pt-BR" b="1">
                  <a:solidFill>
                    <a:sysClr val="windowText" lastClr="000000"/>
                  </a:solidFill>
                </a:endParaRPr>
              </a:p>
            </cx:txPr>
            <cx:visibility seriesName="0" categoryName="1" value="1"/>
            <cx:separator> </cx:separator>
          </cx:dataLabels>
          <cx:dataId val="0"/>
        </cx:series>
      </cx:plotAreaRegion>
    </cx:plotArea>
  </cx:chart>
  <cx:clrMapOvr bg1="lt1" tx1="dk1" bg2="lt2" tx2="dk2" accent1="accent1" accent2="accent2" accent3="accent3" accent4="accent4" accent5="accent5" accent6="accent6" hlink="hlink" folHlink="folHlink"/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_xlchart.v1.15</cx:f>
      </cx:strDim>
      <cx:numDim type="val">
        <cx:f>_xlchart.v1.17</cx:f>
      </cx:numDim>
    </cx:data>
  </cx:chartData>
  <cx:chart>
    <cx:title pos="t" align="ctr" overlay="0">
      <cx:tx>
        <cx:txData>
          <cx:v>Total Meses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>
              <a:solidFill>
                <a:sysClr val="windowText" lastClr="000000"/>
              </a:solidFill>
            </a:defRPr>
          </a:pPr>
          <a:r>
            <a:rPr lang="pt-BR" sz="1400" b="1" i="0" u="none" strike="noStrike" baseline="0">
              <a:solidFill>
                <a:sysClr val="windowText" lastClr="000000"/>
              </a:solidFill>
              <a:latin typeface="Calibri" panose="020F0502020204030204"/>
            </a:rPr>
            <a:t>Total Meses</a:t>
          </a:r>
        </a:p>
      </cx:txPr>
    </cx:title>
    <cx:plotArea>
      <cx:plotAreaRegion>
        <cx:series layoutId="waterfall" uniqueId="{B2616AFC-8D16-42EB-9529-32F062A14839}">
          <cx:tx>
            <cx:txData>
              <cx:f>_xlchart.v1.16</cx:f>
              <cx:v>Total</cx:v>
            </cx:txData>
          </cx:tx>
          <cx:dataLabels pos="outEnd">
            <cx:txPr>
              <a:bodyPr vertOverflow="overflow" horzOverflow="overflow" wrap="square" lIns="0" tIns="0" rIns="0" bIns="0"/>
              <a:lstStyle/>
              <a:p>
                <a:pPr algn="ctr" rtl="0">
                  <a:defRPr sz="900" b="1">
                    <a:solidFill>
                      <a:sysClr val="windowText" lastClr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 b="1">
                  <a:solidFill>
                    <a:sysClr val="windowText" lastClr="000000"/>
                  </a:solidFill>
                </a:endParaRPr>
              </a:p>
            </cx:txPr>
            <cx:visibility seriesName="0" categoryName="0" value="1"/>
          </cx:dataLabels>
          <cx:dataId val="0"/>
          <cx:layoutPr>
            <cx:subtotals>
              <cx:idx val="4"/>
            </cx:subtotals>
          </cx:layoutPr>
        </cx:series>
      </cx:plotAreaRegion>
      <cx:axis id="0">
        <cx:catScaling gapWidth="0.5"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1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pt-BR" b="1">
              <a:solidFill>
                <a:sysClr val="windowText" lastClr="000000"/>
              </a:solidFill>
            </a:endParaRPr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1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pt-BR" b="1">
              <a:solidFill>
                <a:sysClr val="windowText" lastClr="000000"/>
              </a:solidFill>
            </a:endParaRPr>
          </a:p>
        </cx:txPr>
      </cx:axis>
    </cx:plotArea>
    <cx:legend pos="t" align="ctr" overlay="0">
      <cx:txPr>
        <a:bodyPr vertOverflow="overflow" horzOverflow="overflow" wrap="square" lIns="0" tIns="0" rIns="0" bIns="0"/>
        <a:lstStyle/>
        <a:p>
          <a:pPr algn="ctr" rtl="0">
            <a:defRPr sz="90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pt-BR" b="1">
            <a:solidFill>
              <a:sysClr val="windowText" lastClr="000000"/>
            </a:solidFill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5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14/relationships/chartEx" Target="../charts/chartEx3.xml"/><Relationship Id="rId1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121227</xdr:colOff>
      <xdr:row>0</xdr:row>
      <xdr:rowOff>35501</xdr:rowOff>
    </xdr:from>
    <xdr:to>
      <xdr:col>16</xdr:col>
      <xdr:colOff>372341</xdr:colOff>
      <xdr:row>15</xdr:row>
      <xdr:rowOff>34636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</xdr:row>
      <xdr:rowOff>96116</xdr:rowOff>
    </xdr:from>
    <xdr:to>
      <xdr:col>5</xdr:col>
      <xdr:colOff>614796</xdr:colOff>
      <xdr:row>22</xdr:row>
      <xdr:rowOff>173182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90303</xdr:colOff>
      <xdr:row>0</xdr:row>
      <xdr:rowOff>34635</xdr:rowOff>
    </xdr:from>
    <xdr:to>
      <xdr:col>11</xdr:col>
      <xdr:colOff>435429</xdr:colOff>
      <xdr:row>10</xdr:row>
      <xdr:rowOff>136070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0</xdr:row>
      <xdr:rowOff>0</xdr:rowOff>
    </xdr:from>
    <xdr:to>
      <xdr:col>16</xdr:col>
      <xdr:colOff>514349</xdr:colOff>
      <xdr:row>20</xdr:row>
      <xdr:rowOff>66676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137583</xdr:colOff>
      <xdr:row>0</xdr:row>
      <xdr:rowOff>62704</xdr:rowOff>
    </xdr:from>
    <xdr:to>
      <xdr:col>12</xdr:col>
      <xdr:colOff>250219</xdr:colOff>
      <xdr:row>13</xdr:row>
      <xdr:rowOff>71815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143403</xdr:rowOff>
    </xdr:from>
    <xdr:to>
      <xdr:col>5</xdr:col>
      <xdr:colOff>47624</xdr:colOff>
      <xdr:row>31</xdr:row>
      <xdr:rowOff>129116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116417</xdr:colOff>
      <xdr:row>0</xdr:row>
      <xdr:rowOff>35982</xdr:rowOff>
    </xdr:from>
    <xdr:to>
      <xdr:col>16</xdr:col>
      <xdr:colOff>560917</xdr:colOff>
      <xdr:row>12</xdr:row>
      <xdr:rowOff>190499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6275434-0BBB-47F0-8A96-AE31FF7F17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332619</xdr:colOff>
      <xdr:row>13</xdr:row>
      <xdr:rowOff>79827</xdr:rowOff>
    </xdr:from>
    <xdr:to>
      <xdr:col>14</xdr:col>
      <xdr:colOff>1</xdr:colOff>
      <xdr:row>31</xdr:row>
      <xdr:rowOff>163285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052F32FB-4FD1-4423-95F5-AF75628EDFC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51083" y="2869291"/>
              <a:ext cx="6239632" cy="35124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74083</xdr:colOff>
      <xdr:row>0</xdr:row>
      <xdr:rowOff>42332</xdr:rowOff>
    </xdr:from>
    <xdr:to>
      <xdr:col>20</xdr:col>
      <xdr:colOff>31750</xdr:colOff>
      <xdr:row>18</xdr:row>
      <xdr:rowOff>169334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" name="Gráfico 12">
              <a:extLst>
                <a:ext uri="{FF2B5EF4-FFF2-40B4-BE49-F238E27FC236}">
                  <a16:creationId xmlns:a16="http://schemas.microsoft.com/office/drawing/2014/main" id="{00000000-0008-0000-0B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5166" y="42332"/>
              <a:ext cx="5958417" cy="38523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8</xdr:row>
      <xdr:rowOff>25400</xdr:rowOff>
    </xdr:from>
    <xdr:to>
      <xdr:col>11</xdr:col>
      <xdr:colOff>10583</xdr:colOff>
      <xdr:row>22</xdr:row>
      <xdr:rowOff>169333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898E70C2-68EB-411C-B982-FB859C18B3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845733"/>
              <a:ext cx="6561666" cy="28109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3"/>
  <dimension ref="A1:F8"/>
  <sheetViews>
    <sheetView tabSelected="1" zoomScaleNormal="100" workbookViewId="0">
      <selection activeCell="G18" sqref="G18"/>
    </sheetView>
  </sheetViews>
  <sheetFormatPr defaultColWidth="10" defaultRowHeight="15" x14ac:dyDescent="0.25"/>
  <cols>
    <col min="1" max="1" width="11.5703125" customWidth="1"/>
    <col min="3" max="4" width="10" style="1"/>
  </cols>
  <sheetData>
    <row r="1" spans="1:6" ht="23.25" x14ac:dyDescent="0.25">
      <c r="A1" s="28" t="s">
        <v>29</v>
      </c>
      <c r="B1" s="28"/>
      <c r="C1" s="28"/>
      <c r="D1" s="28"/>
      <c r="E1" s="28"/>
      <c r="F1" s="28"/>
    </row>
    <row r="2" spans="1:6" s="9" customFormat="1" ht="30" x14ac:dyDescent="0.25">
      <c r="A2" s="8" t="s">
        <v>0</v>
      </c>
      <c r="B2" s="8" t="s">
        <v>26</v>
      </c>
      <c r="C2" s="8" t="s">
        <v>27</v>
      </c>
      <c r="D2" s="8" t="s">
        <v>28</v>
      </c>
      <c r="E2" s="8" t="s">
        <v>30</v>
      </c>
      <c r="F2" s="8" t="s">
        <v>31</v>
      </c>
    </row>
    <row r="3" spans="1:6" x14ac:dyDescent="0.25">
      <c r="A3" s="4" t="s">
        <v>3</v>
      </c>
      <c r="B3" s="6">
        <v>300</v>
      </c>
      <c r="C3" s="6">
        <v>350</v>
      </c>
      <c r="D3" s="6">
        <v>200</v>
      </c>
      <c r="E3" s="6">
        <f>SUM(B3:D3)</f>
        <v>850</v>
      </c>
      <c r="F3" s="6">
        <f>AVERAGE(B3:D3)</f>
        <v>283.33333333333331</v>
      </c>
    </row>
    <row r="4" spans="1:6" x14ac:dyDescent="0.25">
      <c r="A4" s="4" t="s">
        <v>5</v>
      </c>
      <c r="B4" s="6">
        <v>320</v>
      </c>
      <c r="C4" s="6">
        <v>300</v>
      </c>
      <c r="D4" s="6">
        <v>280</v>
      </c>
      <c r="E4" s="6">
        <f t="shared" ref="E4:E6" si="0">SUM(B4:D4)</f>
        <v>900</v>
      </c>
      <c r="F4" s="6">
        <f t="shared" ref="F4:F6" si="1">AVERAGE(B4:D4)</f>
        <v>300</v>
      </c>
    </row>
    <row r="5" spans="1:6" x14ac:dyDescent="0.25">
      <c r="A5" s="4" t="s">
        <v>4</v>
      </c>
      <c r="B5" s="6">
        <v>400</v>
      </c>
      <c r="C5" s="6">
        <v>350</v>
      </c>
      <c r="D5" s="6">
        <v>380</v>
      </c>
      <c r="E5" s="6">
        <f t="shared" si="0"/>
        <v>1130</v>
      </c>
      <c r="F5" s="6">
        <f t="shared" si="1"/>
        <v>376.66666666666669</v>
      </c>
    </row>
    <row r="6" spans="1:6" x14ac:dyDescent="0.25">
      <c r="A6" s="4" t="s">
        <v>2</v>
      </c>
      <c r="B6" s="6">
        <v>290</v>
      </c>
      <c r="C6" s="6">
        <v>400</v>
      </c>
      <c r="D6" s="6">
        <v>370</v>
      </c>
      <c r="E6" s="6">
        <f t="shared" si="0"/>
        <v>1060</v>
      </c>
      <c r="F6" s="6">
        <f t="shared" si="1"/>
        <v>353.33333333333331</v>
      </c>
    </row>
    <row r="7" spans="1:6" x14ac:dyDescent="0.25">
      <c r="A7" s="22" t="s">
        <v>30</v>
      </c>
      <c r="B7" s="6">
        <f>SUM(B3:B6)</f>
        <v>1310</v>
      </c>
      <c r="C7" s="6">
        <f t="shared" ref="C7:E7" si="2">SUM(C3:C6)</f>
        <v>1400</v>
      </c>
      <c r="D7" s="6">
        <f t="shared" si="2"/>
        <v>1230</v>
      </c>
      <c r="E7" s="6">
        <f t="shared" si="2"/>
        <v>3940</v>
      </c>
      <c r="F7" s="6"/>
    </row>
    <row r="8" spans="1:6" x14ac:dyDescent="0.25">
      <c r="A8" s="22" t="s">
        <v>31</v>
      </c>
      <c r="B8" s="6">
        <f>AVERAGE(B3:B6)</f>
        <v>327.5</v>
      </c>
      <c r="C8" s="6">
        <f t="shared" ref="C8:E8" si="3">AVERAGE(C3:C6)</f>
        <v>350</v>
      </c>
      <c r="D8" s="6">
        <f t="shared" si="3"/>
        <v>307.5</v>
      </c>
      <c r="E8" s="6">
        <f t="shared" si="3"/>
        <v>985</v>
      </c>
      <c r="F8" s="6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D8"/>
  <sheetViews>
    <sheetView zoomScale="140" zoomScaleNormal="140" workbookViewId="0">
      <selection activeCell="C9" sqref="C9"/>
    </sheetView>
  </sheetViews>
  <sheetFormatPr defaultRowHeight="15" x14ac:dyDescent="0.25"/>
  <cols>
    <col min="1" max="1" width="14.28515625" bestFit="1" customWidth="1"/>
    <col min="2" max="3" width="12.140625" style="1" bestFit="1" customWidth="1"/>
    <col min="4" max="4" width="11.5703125" bestFit="1" customWidth="1"/>
  </cols>
  <sheetData>
    <row r="1" spans="1:4" ht="23.25" x14ac:dyDescent="0.35">
      <c r="A1" s="29" t="s">
        <v>36</v>
      </c>
      <c r="B1" s="29"/>
      <c r="C1" s="29"/>
      <c r="D1" s="29"/>
    </row>
    <row r="2" spans="1:4" x14ac:dyDescent="0.25">
      <c r="A2" s="25"/>
      <c r="B2" s="25"/>
      <c r="C2" s="25"/>
      <c r="D2" s="25"/>
    </row>
    <row r="3" spans="1:4" ht="37.5" x14ac:dyDescent="0.25">
      <c r="A3" s="11" t="s">
        <v>0</v>
      </c>
      <c r="B3" s="12" t="s">
        <v>33</v>
      </c>
      <c r="C3" s="12" t="s">
        <v>34</v>
      </c>
      <c r="D3" s="11" t="s">
        <v>35</v>
      </c>
    </row>
    <row r="4" spans="1:4" x14ac:dyDescent="0.25">
      <c r="A4" s="4" t="s">
        <v>3</v>
      </c>
      <c r="B4" s="20">
        <v>0.22500000000000001</v>
      </c>
      <c r="C4" s="20">
        <v>0.14899999999999999</v>
      </c>
      <c r="D4" s="20">
        <v>0.36</v>
      </c>
    </row>
    <row r="5" spans="1:4" x14ac:dyDescent="0.25">
      <c r="A5" s="4" t="s">
        <v>5</v>
      </c>
      <c r="B5" s="20">
        <v>0.16500000000000001</v>
      </c>
      <c r="C5" s="20">
        <v>0.35499999999999998</v>
      </c>
      <c r="D5" s="20">
        <v>0.24</v>
      </c>
    </row>
    <row r="6" spans="1:4" x14ac:dyDescent="0.25">
      <c r="A6" s="4" t="s">
        <v>4</v>
      </c>
      <c r="B6" s="20">
        <v>0.23</v>
      </c>
      <c r="C6" s="20">
        <v>0.28699999999999998</v>
      </c>
      <c r="D6" s="20">
        <v>0.2</v>
      </c>
    </row>
    <row r="7" spans="1:4" x14ac:dyDescent="0.25">
      <c r="A7" s="4" t="s">
        <v>2</v>
      </c>
      <c r="B7" s="20">
        <v>0.38</v>
      </c>
      <c r="C7" s="20">
        <v>0.20899999999999999</v>
      </c>
      <c r="D7" s="20">
        <v>0.2</v>
      </c>
    </row>
    <row r="8" spans="1:4" x14ac:dyDescent="0.25">
      <c r="B8" s="24"/>
      <c r="C8" s="24"/>
      <c r="D8" s="24"/>
    </row>
  </sheetData>
  <sortState ref="A4:E11">
    <sortCondition ref="A3"/>
  </sortState>
  <mergeCells count="2">
    <mergeCell ref="A2:D2"/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A1:G19"/>
  <sheetViews>
    <sheetView zoomScaleNormal="100" workbookViewId="0">
      <selection activeCell="F21" sqref="F21"/>
    </sheetView>
  </sheetViews>
  <sheetFormatPr defaultRowHeight="15" x14ac:dyDescent="0.25"/>
  <cols>
    <col min="1" max="1" width="15.140625" bestFit="1" customWidth="1"/>
    <col min="2" max="2" width="14.28515625" bestFit="1" customWidth="1"/>
    <col min="3" max="3" width="12.140625" style="1" bestFit="1" customWidth="1"/>
    <col min="4" max="4" width="14.7109375" style="1" bestFit="1" customWidth="1"/>
    <col min="5" max="5" width="14.28515625" bestFit="1" customWidth="1"/>
    <col min="6" max="6" width="12.140625" style="1" bestFit="1" customWidth="1"/>
    <col min="7" max="7" width="14.28515625" bestFit="1" customWidth="1"/>
  </cols>
  <sheetData>
    <row r="1" spans="1:7" ht="26.25" x14ac:dyDescent="0.4">
      <c r="A1" s="30" t="s">
        <v>17</v>
      </c>
      <c r="B1" s="30"/>
      <c r="C1" s="30"/>
      <c r="D1" s="30"/>
      <c r="E1" s="30"/>
      <c r="F1" s="30"/>
      <c r="G1" s="30"/>
    </row>
    <row r="2" spans="1:7" x14ac:dyDescent="0.25">
      <c r="A2" s="25"/>
      <c r="B2" s="25"/>
      <c r="C2" s="25"/>
      <c r="D2" s="25"/>
      <c r="E2" s="25"/>
      <c r="F2" s="25"/>
      <c r="G2" s="25"/>
    </row>
    <row r="3" spans="1:7" s="13" customFormat="1" ht="37.5" x14ac:dyDescent="0.3">
      <c r="A3" s="11" t="s">
        <v>25</v>
      </c>
      <c r="B3" s="11" t="s">
        <v>0</v>
      </c>
      <c r="C3" s="12" t="s">
        <v>14</v>
      </c>
      <c r="D3" s="12" t="s">
        <v>1</v>
      </c>
      <c r="E3" s="11" t="s">
        <v>6</v>
      </c>
      <c r="F3" s="12" t="s">
        <v>23</v>
      </c>
      <c r="G3" s="11" t="s">
        <v>24</v>
      </c>
    </row>
    <row r="4" spans="1:7" x14ac:dyDescent="0.25">
      <c r="A4" s="21">
        <v>42417</v>
      </c>
      <c r="B4" s="4" t="s">
        <v>2</v>
      </c>
      <c r="C4" s="5">
        <v>1200</v>
      </c>
      <c r="D4" s="6">
        <v>9</v>
      </c>
      <c r="E4" s="5">
        <f t="shared" ref="E4:E13" si="0">C4*D4</f>
        <v>10800</v>
      </c>
      <c r="F4" s="5">
        <f t="shared" ref="F4:F13" si="1">IF(C4&gt;=$D$16,C4+C4*$D$17,C4+C4*$D$18)</f>
        <v>1224</v>
      </c>
      <c r="G4" s="5">
        <f>F4*D4</f>
        <v>11016</v>
      </c>
    </row>
    <row r="5" spans="1:7" x14ac:dyDescent="0.25">
      <c r="A5" s="21">
        <v>42418</v>
      </c>
      <c r="B5" s="4" t="s">
        <v>3</v>
      </c>
      <c r="C5" s="5">
        <v>2200</v>
      </c>
      <c r="D5" s="6">
        <v>15</v>
      </c>
      <c r="E5" s="5">
        <f t="shared" si="0"/>
        <v>33000</v>
      </c>
      <c r="F5" s="5">
        <f t="shared" si="1"/>
        <v>2244</v>
      </c>
      <c r="G5" s="5">
        <f t="shared" ref="G5:G13" si="2">F5*D5</f>
        <v>33660</v>
      </c>
    </row>
    <row r="6" spans="1:7" x14ac:dyDescent="0.25">
      <c r="A6" s="21">
        <v>42419</v>
      </c>
      <c r="B6" s="4" t="s">
        <v>4</v>
      </c>
      <c r="C6" s="5">
        <v>1400</v>
      </c>
      <c r="D6" s="6">
        <v>101</v>
      </c>
      <c r="E6" s="5">
        <f t="shared" si="0"/>
        <v>141400</v>
      </c>
      <c r="F6" s="5">
        <f t="shared" si="1"/>
        <v>1428</v>
      </c>
      <c r="G6" s="5">
        <f t="shared" si="2"/>
        <v>144228</v>
      </c>
    </row>
    <row r="7" spans="1:7" x14ac:dyDescent="0.25">
      <c r="A7" s="21">
        <v>42420</v>
      </c>
      <c r="B7" s="4" t="s">
        <v>5</v>
      </c>
      <c r="C7" s="5">
        <v>900</v>
      </c>
      <c r="D7" s="6">
        <v>31</v>
      </c>
      <c r="E7" s="5">
        <f t="shared" si="0"/>
        <v>27900</v>
      </c>
      <c r="F7" s="5">
        <f t="shared" si="1"/>
        <v>907.2</v>
      </c>
      <c r="G7" s="5">
        <f t="shared" si="2"/>
        <v>28123.200000000001</v>
      </c>
    </row>
    <row r="8" spans="1:7" x14ac:dyDescent="0.25">
      <c r="A8" s="21">
        <v>42421</v>
      </c>
      <c r="B8" s="4" t="s">
        <v>2</v>
      </c>
      <c r="C8" s="5">
        <v>1200</v>
      </c>
      <c r="D8" s="6">
        <v>8</v>
      </c>
      <c r="E8" s="5">
        <f t="shared" si="0"/>
        <v>9600</v>
      </c>
      <c r="F8" s="5">
        <f t="shared" si="1"/>
        <v>1224</v>
      </c>
      <c r="G8" s="5">
        <f t="shared" si="2"/>
        <v>9792</v>
      </c>
    </row>
    <row r="9" spans="1:7" x14ac:dyDescent="0.25">
      <c r="A9" s="21">
        <v>42422</v>
      </c>
      <c r="B9" s="4" t="s">
        <v>3</v>
      </c>
      <c r="C9" s="5">
        <v>2200</v>
      </c>
      <c r="D9" s="6">
        <v>120</v>
      </c>
      <c r="E9" s="5">
        <f t="shared" si="0"/>
        <v>264000</v>
      </c>
      <c r="F9" s="5">
        <f t="shared" si="1"/>
        <v>2244</v>
      </c>
      <c r="G9" s="5">
        <f t="shared" si="2"/>
        <v>269280</v>
      </c>
    </row>
    <row r="10" spans="1:7" x14ac:dyDescent="0.25">
      <c r="A10" s="21">
        <v>42423</v>
      </c>
      <c r="B10" s="4" t="s">
        <v>4</v>
      </c>
      <c r="C10" s="5">
        <v>1400</v>
      </c>
      <c r="D10" s="6">
        <v>12</v>
      </c>
      <c r="E10" s="5">
        <f t="shared" si="0"/>
        <v>16800</v>
      </c>
      <c r="F10" s="5">
        <f t="shared" si="1"/>
        <v>1428</v>
      </c>
      <c r="G10" s="5">
        <f t="shared" si="2"/>
        <v>17136</v>
      </c>
    </row>
    <row r="11" spans="1:7" x14ac:dyDescent="0.25">
      <c r="A11" s="21">
        <v>42424</v>
      </c>
      <c r="B11" s="4" t="s">
        <v>5</v>
      </c>
      <c r="C11" s="5">
        <v>900</v>
      </c>
      <c r="D11" s="6">
        <v>55</v>
      </c>
      <c r="E11" s="5">
        <f t="shared" si="0"/>
        <v>49500</v>
      </c>
      <c r="F11" s="5">
        <f t="shared" si="1"/>
        <v>907.2</v>
      </c>
      <c r="G11" s="5">
        <f t="shared" si="2"/>
        <v>49896</v>
      </c>
    </row>
    <row r="12" spans="1:7" x14ac:dyDescent="0.25">
      <c r="A12" s="21">
        <v>42425</v>
      </c>
      <c r="B12" s="4" t="s">
        <v>2</v>
      </c>
      <c r="C12" s="5">
        <v>1200</v>
      </c>
      <c r="D12" s="6">
        <v>200</v>
      </c>
      <c r="E12" s="5">
        <f t="shared" si="0"/>
        <v>240000</v>
      </c>
      <c r="F12" s="5">
        <f t="shared" si="1"/>
        <v>1224</v>
      </c>
      <c r="G12" s="5">
        <f t="shared" si="2"/>
        <v>244800</v>
      </c>
    </row>
    <row r="13" spans="1:7" x14ac:dyDescent="0.25">
      <c r="A13" s="21">
        <v>42426</v>
      </c>
      <c r="B13" s="4" t="s">
        <v>3</v>
      </c>
      <c r="C13" s="5">
        <v>2200</v>
      </c>
      <c r="D13" s="6">
        <v>30</v>
      </c>
      <c r="E13" s="5">
        <f t="shared" si="0"/>
        <v>66000</v>
      </c>
      <c r="F13" s="5">
        <f t="shared" si="1"/>
        <v>2244</v>
      </c>
      <c r="G13" s="5">
        <f t="shared" si="2"/>
        <v>67320</v>
      </c>
    </row>
    <row r="15" spans="1:7" hidden="1" x14ac:dyDescent="0.25">
      <c r="B15" s="2" t="s">
        <v>1</v>
      </c>
      <c r="C15" s="3" t="s">
        <v>21</v>
      </c>
      <c r="D15" s="3" t="s">
        <v>22</v>
      </c>
      <c r="E15" s="2" t="s">
        <v>21</v>
      </c>
    </row>
    <row r="16" spans="1:7" ht="18" hidden="1" x14ac:dyDescent="0.25">
      <c r="B16" s="2">
        <v>100</v>
      </c>
      <c r="C16" s="3" t="s">
        <v>19</v>
      </c>
      <c r="D16" s="3">
        <v>1000</v>
      </c>
      <c r="E16" s="19" t="s">
        <v>7</v>
      </c>
    </row>
    <row r="17" spans="2:5" ht="18" hidden="1" x14ac:dyDescent="0.25">
      <c r="B17" s="2">
        <v>50</v>
      </c>
      <c r="C17" s="3" t="s">
        <v>20</v>
      </c>
      <c r="D17" s="17">
        <v>0.02</v>
      </c>
      <c r="E17" s="19" t="s">
        <v>8</v>
      </c>
    </row>
    <row r="18" spans="2:5" ht="18" hidden="1" x14ac:dyDescent="0.25">
      <c r="B18" s="2"/>
      <c r="C18" s="3"/>
      <c r="D18" s="18">
        <v>8.0000000000000002E-3</v>
      </c>
      <c r="E18" s="19" t="s">
        <v>9</v>
      </c>
    </row>
    <row r="19" spans="2:5" hidden="1" x14ac:dyDescent="0.25"/>
  </sheetData>
  <mergeCells count="2">
    <mergeCell ref="A1:G1"/>
    <mergeCell ref="A2:G2"/>
  </mergeCells>
  <conditionalFormatting sqref="F4:F13">
    <cfRule type="cellIs" dxfId="1" priority="1" operator="equal">
      <formula>"I"</formula>
    </cfRule>
    <cfRule type="cellIs" dxfId="0" priority="5" operator="equal">
      <formula>$B$9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4"/>
  <dimension ref="A1:F8"/>
  <sheetViews>
    <sheetView zoomScale="140" zoomScaleNormal="140" workbookViewId="0">
      <selection activeCell="D5" sqref="D5"/>
    </sheetView>
  </sheetViews>
  <sheetFormatPr defaultColWidth="10" defaultRowHeight="15" x14ac:dyDescent="0.25"/>
  <cols>
    <col min="1" max="1" width="11.5703125" customWidth="1"/>
    <col min="3" max="4" width="10" style="1"/>
  </cols>
  <sheetData>
    <row r="1" spans="1:6" ht="23.25" x14ac:dyDescent="0.25">
      <c r="A1" s="28" t="s">
        <v>29</v>
      </c>
      <c r="B1" s="28"/>
      <c r="C1" s="28"/>
      <c r="D1" s="28"/>
      <c r="E1" s="28"/>
      <c r="F1" s="28"/>
    </row>
    <row r="2" spans="1:6" s="9" customFormat="1" ht="30" x14ac:dyDescent="0.25">
      <c r="A2" s="8" t="s">
        <v>0</v>
      </c>
      <c r="B2" s="8" t="s">
        <v>26</v>
      </c>
      <c r="C2" s="8" t="s">
        <v>27</v>
      </c>
      <c r="D2" s="8" t="s">
        <v>28</v>
      </c>
      <c r="E2" s="8" t="s">
        <v>30</v>
      </c>
      <c r="F2" s="8" t="s">
        <v>32</v>
      </c>
    </row>
    <row r="3" spans="1:6" x14ac:dyDescent="0.25">
      <c r="A3" s="4" t="s">
        <v>3</v>
      </c>
      <c r="B3" s="6">
        <v>300</v>
      </c>
      <c r="C3" s="6">
        <v>350</v>
      </c>
      <c r="D3" s="6">
        <v>200</v>
      </c>
      <c r="E3" s="6">
        <f>SUM(B3:D3)</f>
        <v>850</v>
      </c>
      <c r="F3" s="20">
        <f>E3/$E$7</f>
        <v>0.21573604060913706</v>
      </c>
    </row>
    <row r="4" spans="1:6" x14ac:dyDescent="0.25">
      <c r="A4" s="4" t="s">
        <v>5</v>
      </c>
      <c r="B4" s="6">
        <v>320</v>
      </c>
      <c r="C4" s="6">
        <v>300</v>
      </c>
      <c r="D4" s="6">
        <v>280</v>
      </c>
      <c r="E4" s="6">
        <f t="shared" ref="E4:E6" si="0">SUM(B4:D4)</f>
        <v>900</v>
      </c>
      <c r="F4" s="20">
        <f t="shared" ref="F4:F7" si="1">E4/$E$7</f>
        <v>0.22842639593908629</v>
      </c>
    </row>
    <row r="5" spans="1:6" x14ac:dyDescent="0.25">
      <c r="A5" s="4" t="s">
        <v>4</v>
      </c>
      <c r="B5" s="6">
        <v>400</v>
      </c>
      <c r="C5" s="6">
        <v>350</v>
      </c>
      <c r="D5" s="6">
        <v>380</v>
      </c>
      <c r="E5" s="6">
        <f t="shared" si="0"/>
        <v>1130</v>
      </c>
      <c r="F5" s="20">
        <f t="shared" si="1"/>
        <v>0.28680203045685282</v>
      </c>
    </row>
    <row r="6" spans="1:6" x14ac:dyDescent="0.25">
      <c r="A6" s="4" t="s">
        <v>2</v>
      </c>
      <c r="B6" s="6">
        <v>290</v>
      </c>
      <c r="C6" s="6">
        <v>400</v>
      </c>
      <c r="D6" s="6">
        <v>370</v>
      </c>
      <c r="E6" s="6">
        <f t="shared" si="0"/>
        <v>1060</v>
      </c>
      <c r="F6" s="20">
        <f t="shared" si="1"/>
        <v>0.26903553299492383</v>
      </c>
    </row>
    <row r="7" spans="1:6" x14ac:dyDescent="0.25">
      <c r="A7" s="22" t="s">
        <v>30</v>
      </c>
      <c r="B7" s="6">
        <f>SUM(B3:B6)</f>
        <v>1310</v>
      </c>
      <c r="C7" s="6">
        <f>SUM(C3:C6)</f>
        <v>1400</v>
      </c>
      <c r="D7" s="6">
        <f t="shared" ref="D7:E7" si="2">SUM(D3:D6)</f>
        <v>1230</v>
      </c>
      <c r="E7" s="23">
        <f t="shared" si="2"/>
        <v>3940</v>
      </c>
      <c r="F7" s="20">
        <f t="shared" si="1"/>
        <v>1</v>
      </c>
    </row>
    <row r="8" spans="1:6" x14ac:dyDescent="0.25">
      <c r="A8" s="22" t="s">
        <v>32</v>
      </c>
      <c r="B8" s="20">
        <f>B7/$E$7</f>
        <v>0.33248730964467005</v>
      </c>
      <c r="C8" s="20">
        <f t="shared" ref="C8:E8" si="3">C7/$E$7</f>
        <v>0.35532994923857869</v>
      </c>
      <c r="D8" s="20">
        <f t="shared" si="3"/>
        <v>0.31218274111675126</v>
      </c>
      <c r="E8" s="20">
        <f t="shared" si="3"/>
        <v>1</v>
      </c>
      <c r="F8" s="6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:H19"/>
  <sheetViews>
    <sheetView zoomScale="70" zoomScaleNormal="70" workbookViewId="0">
      <selection activeCell="R25" sqref="R25"/>
    </sheetView>
  </sheetViews>
  <sheetFormatPr defaultRowHeight="15" x14ac:dyDescent="0.25"/>
  <cols>
    <col min="1" max="1" width="18" customWidth="1"/>
    <col min="2" max="2" width="19.7109375" customWidth="1"/>
    <col min="3" max="3" width="22.140625" style="1" bestFit="1" customWidth="1"/>
    <col min="4" max="4" width="18.85546875" style="1" bestFit="1" customWidth="1"/>
    <col min="5" max="5" width="16.42578125" bestFit="1" customWidth="1"/>
    <col min="6" max="6" width="7" customWidth="1"/>
    <col min="7" max="7" width="18.28515625" customWidth="1"/>
    <col min="8" max="8" width="24.28515625" style="1" bestFit="1" customWidth="1"/>
  </cols>
  <sheetData>
    <row r="1" spans="1:8" s="9" customFormat="1" ht="23.25" x14ac:dyDescent="0.25">
      <c r="A1" s="31" t="s">
        <v>18</v>
      </c>
      <c r="B1" s="31"/>
      <c r="C1" s="31"/>
      <c r="D1" s="31"/>
      <c r="E1" s="31"/>
      <c r="G1" s="31" t="s">
        <v>21</v>
      </c>
      <c r="H1" s="31"/>
    </row>
    <row r="2" spans="1:8" x14ac:dyDescent="0.25">
      <c r="A2" s="25"/>
      <c r="B2" s="25"/>
      <c r="C2" s="25"/>
      <c r="D2" s="25"/>
      <c r="E2" s="25"/>
      <c r="G2" s="25"/>
      <c r="H2" s="25"/>
    </row>
    <row r="3" spans="1:8" s="16" customFormat="1" ht="31.5" x14ac:dyDescent="0.25">
      <c r="A3" s="14" t="s">
        <v>0</v>
      </c>
      <c r="B3" s="14" t="s">
        <v>10</v>
      </c>
      <c r="C3" s="15" t="s">
        <v>14</v>
      </c>
      <c r="D3" s="15" t="s">
        <v>1</v>
      </c>
      <c r="E3" s="14" t="s">
        <v>6</v>
      </c>
      <c r="G3" s="14" t="s">
        <v>0</v>
      </c>
      <c r="H3" s="15" t="s">
        <v>15</v>
      </c>
    </row>
    <row r="4" spans="1:8" x14ac:dyDescent="0.25">
      <c r="A4" s="4" t="s">
        <v>2</v>
      </c>
      <c r="B4" s="4" t="s">
        <v>11</v>
      </c>
      <c r="C4" s="5">
        <v>1200</v>
      </c>
      <c r="D4" s="6">
        <v>10</v>
      </c>
      <c r="E4" s="5">
        <f>C4*D4</f>
        <v>12000</v>
      </c>
      <c r="G4" s="4" t="s">
        <v>2</v>
      </c>
      <c r="H4" s="5">
        <f>SUMIF($A$4:$A$12,G4,$E$4:$E$12)</f>
        <v>52800</v>
      </c>
    </row>
    <row r="5" spans="1:8" x14ac:dyDescent="0.25">
      <c r="A5" s="4" t="s">
        <v>3</v>
      </c>
      <c r="B5" s="4" t="s">
        <v>12</v>
      </c>
      <c r="C5" s="5">
        <v>2200</v>
      </c>
      <c r="D5" s="6">
        <v>32</v>
      </c>
      <c r="E5" s="5">
        <f t="shared" ref="E5:E12" si="0">C5*D5</f>
        <v>70400</v>
      </c>
      <c r="G5" s="4" t="s">
        <v>3</v>
      </c>
      <c r="H5" s="5">
        <f t="shared" ref="H5:H7" si="1">SUMIF($A$4:$A$12,G5,$E$4:$E$12)</f>
        <v>158400</v>
      </c>
    </row>
    <row r="6" spans="1:8" x14ac:dyDescent="0.25">
      <c r="A6" s="4" t="s">
        <v>4</v>
      </c>
      <c r="B6" s="4" t="s">
        <v>13</v>
      </c>
      <c r="C6" s="5">
        <v>1400</v>
      </c>
      <c r="D6" s="6">
        <v>28</v>
      </c>
      <c r="E6" s="5">
        <f t="shared" si="0"/>
        <v>39200</v>
      </c>
      <c r="G6" s="4" t="s">
        <v>4</v>
      </c>
      <c r="H6" s="5">
        <f t="shared" si="1"/>
        <v>56000</v>
      </c>
    </row>
    <row r="7" spans="1:8" x14ac:dyDescent="0.25">
      <c r="A7" s="4" t="s">
        <v>5</v>
      </c>
      <c r="B7" s="4" t="s">
        <v>12</v>
      </c>
      <c r="C7" s="5">
        <v>900</v>
      </c>
      <c r="D7" s="6">
        <v>40</v>
      </c>
      <c r="E7" s="5">
        <f t="shared" si="0"/>
        <v>36000</v>
      </c>
      <c r="G7" s="4" t="s">
        <v>5</v>
      </c>
      <c r="H7" s="5">
        <f t="shared" si="1"/>
        <v>85500</v>
      </c>
    </row>
    <row r="8" spans="1:8" x14ac:dyDescent="0.25">
      <c r="A8" s="4" t="s">
        <v>2</v>
      </c>
      <c r="B8" s="4" t="s">
        <v>11</v>
      </c>
      <c r="C8" s="5">
        <v>1200</v>
      </c>
      <c r="D8" s="6">
        <v>8</v>
      </c>
      <c r="E8" s="5">
        <f t="shared" si="0"/>
        <v>9600</v>
      </c>
      <c r="G8" s="10" t="s">
        <v>16</v>
      </c>
      <c r="H8" s="3">
        <f>SUM(H4:H7)</f>
        <v>352700</v>
      </c>
    </row>
    <row r="9" spans="1:8" x14ac:dyDescent="0.25">
      <c r="A9" s="4" t="s">
        <v>3</v>
      </c>
      <c r="B9" s="4" t="s">
        <v>12</v>
      </c>
      <c r="C9" s="5">
        <v>2200</v>
      </c>
      <c r="D9" s="6">
        <v>40</v>
      </c>
      <c r="E9" s="5">
        <f t="shared" si="0"/>
        <v>88000</v>
      </c>
    </row>
    <row r="10" spans="1:8" x14ac:dyDescent="0.25">
      <c r="A10" s="4" t="s">
        <v>4</v>
      </c>
      <c r="B10" s="4" t="s">
        <v>13</v>
      </c>
      <c r="C10" s="5">
        <v>1400</v>
      </c>
      <c r="D10" s="6">
        <v>12</v>
      </c>
      <c r="E10" s="5">
        <f t="shared" si="0"/>
        <v>16800</v>
      </c>
      <c r="H10"/>
    </row>
    <row r="11" spans="1:8" x14ac:dyDescent="0.25">
      <c r="A11" s="4" t="s">
        <v>5</v>
      </c>
      <c r="B11" s="4" t="s">
        <v>12</v>
      </c>
      <c r="C11" s="5">
        <v>900</v>
      </c>
      <c r="D11" s="6">
        <v>55</v>
      </c>
      <c r="E11" s="5">
        <f t="shared" si="0"/>
        <v>49500</v>
      </c>
      <c r="H11"/>
    </row>
    <row r="12" spans="1:8" x14ac:dyDescent="0.25">
      <c r="A12" s="4" t="s">
        <v>2</v>
      </c>
      <c r="B12" s="4" t="s">
        <v>11</v>
      </c>
      <c r="C12" s="5">
        <v>1200</v>
      </c>
      <c r="D12" s="6">
        <v>26</v>
      </c>
      <c r="E12" s="5">
        <f t="shared" si="0"/>
        <v>31200</v>
      </c>
    </row>
    <row r="13" spans="1:8" x14ac:dyDescent="0.25">
      <c r="E13" s="7"/>
    </row>
    <row r="15" spans="1:8" x14ac:dyDescent="0.25">
      <c r="C15"/>
    </row>
    <row r="16" spans="1:8" x14ac:dyDescent="0.25">
      <c r="C16"/>
    </row>
    <row r="17" spans="3:3" x14ac:dyDescent="0.25">
      <c r="C17"/>
    </row>
    <row r="18" spans="3:3" x14ac:dyDescent="0.25">
      <c r="C18"/>
    </row>
    <row r="19" spans="3:3" x14ac:dyDescent="0.25">
      <c r="C19"/>
    </row>
  </sheetData>
  <mergeCells count="4">
    <mergeCell ref="A2:E2"/>
    <mergeCell ref="A1:E1"/>
    <mergeCell ref="G1:H1"/>
    <mergeCell ref="G2:H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8"/>
  <dimension ref="A1:G8"/>
  <sheetViews>
    <sheetView zoomScale="90" zoomScaleNormal="90" workbookViewId="0">
      <selection activeCell="I4" sqref="I4"/>
    </sheetView>
  </sheetViews>
  <sheetFormatPr defaultColWidth="10" defaultRowHeight="15" x14ac:dyDescent="0.25"/>
  <cols>
    <col min="1" max="1" width="11" bestFit="1" customWidth="1"/>
    <col min="2" max="2" width="11" customWidth="1"/>
    <col min="3" max="3" width="7.140625" bestFit="1" customWidth="1"/>
    <col min="4" max="5" width="7.140625" style="1" bestFit="1" customWidth="1"/>
    <col min="6" max="7" width="7.42578125" bestFit="1" customWidth="1"/>
  </cols>
  <sheetData>
    <row r="1" spans="1:7" ht="23.25" x14ac:dyDescent="0.25">
      <c r="A1" s="26" t="s">
        <v>29</v>
      </c>
      <c r="B1" s="27"/>
      <c r="C1" s="27"/>
      <c r="D1" s="27"/>
      <c r="E1" s="27"/>
      <c r="F1" s="27"/>
      <c r="G1" s="27"/>
    </row>
    <row r="2" spans="1:7" s="9" customFormat="1" ht="30" x14ac:dyDescent="0.25">
      <c r="A2" s="8" t="s">
        <v>0</v>
      </c>
      <c r="B2" s="8" t="s">
        <v>37</v>
      </c>
      <c r="C2" s="8" t="s">
        <v>26</v>
      </c>
      <c r="D2" s="8" t="s">
        <v>27</v>
      </c>
      <c r="E2" s="8" t="s">
        <v>28</v>
      </c>
      <c r="F2" s="8" t="s">
        <v>30</v>
      </c>
      <c r="G2" s="8" t="s">
        <v>32</v>
      </c>
    </row>
    <row r="3" spans="1:7" x14ac:dyDescent="0.25">
      <c r="A3" s="4" t="s">
        <v>3</v>
      </c>
      <c r="B3" s="4" t="s">
        <v>38</v>
      </c>
      <c r="C3" s="6">
        <v>300</v>
      </c>
      <c r="D3" s="6">
        <v>350</v>
      </c>
      <c r="E3" s="6">
        <v>200</v>
      </c>
      <c r="F3" s="6">
        <f>SUM(C3:E3)</f>
        <v>850</v>
      </c>
      <c r="G3" s="20">
        <f>F3/$F$7</f>
        <v>0.21573604060913706</v>
      </c>
    </row>
    <row r="4" spans="1:7" x14ac:dyDescent="0.25">
      <c r="A4" s="4" t="s">
        <v>5</v>
      </c>
      <c r="B4" s="4"/>
      <c r="C4" s="6">
        <v>320</v>
      </c>
      <c r="D4" s="6">
        <v>300</v>
      </c>
      <c r="E4" s="6">
        <v>280</v>
      </c>
      <c r="F4" s="6">
        <f t="shared" ref="F4:F6" si="0">SUM(C4:E4)</f>
        <v>900</v>
      </c>
      <c r="G4" s="20">
        <f t="shared" ref="G4:G7" si="1">F4/$F$7</f>
        <v>0.22842639593908629</v>
      </c>
    </row>
    <row r="5" spans="1:7" x14ac:dyDescent="0.25">
      <c r="A5" s="4" t="s">
        <v>4</v>
      </c>
      <c r="B5" s="4"/>
      <c r="C5" s="6">
        <v>400</v>
      </c>
      <c r="D5" s="6">
        <v>350</v>
      </c>
      <c r="E5" s="6">
        <v>380</v>
      </c>
      <c r="F5" s="6">
        <f t="shared" si="0"/>
        <v>1130</v>
      </c>
      <c r="G5" s="20">
        <f t="shared" si="1"/>
        <v>0.28680203045685282</v>
      </c>
    </row>
    <row r="6" spans="1:7" x14ac:dyDescent="0.25">
      <c r="A6" s="4" t="s">
        <v>2</v>
      </c>
      <c r="B6" s="4" t="s">
        <v>39</v>
      </c>
      <c r="C6" s="6">
        <v>290</v>
      </c>
      <c r="D6" s="6">
        <v>400</v>
      </c>
      <c r="E6" s="6">
        <v>370</v>
      </c>
      <c r="F6" s="6">
        <f t="shared" si="0"/>
        <v>1060</v>
      </c>
      <c r="G6" s="20">
        <f t="shared" si="1"/>
        <v>0.26903553299492383</v>
      </c>
    </row>
    <row r="7" spans="1:7" x14ac:dyDescent="0.25">
      <c r="A7" s="22" t="s">
        <v>30</v>
      </c>
      <c r="B7" s="22"/>
      <c r="C7" s="6">
        <f>SUM(C3:C6)</f>
        <v>1310</v>
      </c>
      <c r="D7" s="6">
        <f>SUM(D3:D6)</f>
        <v>1400</v>
      </c>
      <c r="E7" s="6">
        <f t="shared" ref="E7:F7" si="2">SUM(E3:E6)</f>
        <v>1230</v>
      </c>
      <c r="F7" s="23">
        <f t="shared" si="2"/>
        <v>3940</v>
      </c>
      <c r="G7" s="20">
        <f t="shared" si="1"/>
        <v>1</v>
      </c>
    </row>
    <row r="8" spans="1:7" x14ac:dyDescent="0.25">
      <c r="A8" s="22" t="s">
        <v>32</v>
      </c>
      <c r="B8" s="22"/>
      <c r="C8" s="20">
        <f>C7/$F$7</f>
        <v>0.33248730964467005</v>
      </c>
      <c r="D8" s="20">
        <f t="shared" ref="D8:F8" si="3">D7/$F$7</f>
        <v>0.35532994923857869</v>
      </c>
      <c r="E8" s="20">
        <f t="shared" si="3"/>
        <v>0.31218274111675126</v>
      </c>
      <c r="F8" s="20">
        <f t="shared" si="3"/>
        <v>1</v>
      </c>
      <c r="G8" s="6"/>
    </row>
  </sheetData>
  <mergeCells count="1">
    <mergeCell ref="A1:G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BF8F20DACDC524AA97E5D5AD11D1010" ma:contentTypeVersion="29" ma:contentTypeDescription="Crie um novo documento." ma:contentTypeScope="" ma:versionID="b83774272e9ba4b927e399a105d46c31">
  <xsd:schema xmlns:xsd="http://www.w3.org/2001/XMLSchema" xmlns:xs="http://www.w3.org/2001/XMLSchema" xmlns:p="http://schemas.microsoft.com/office/2006/metadata/properties" xmlns:ns2="945e57da-c50d-42e8-ab32-7d1106145708" xmlns:ns3="7be03918-918d-43f2-ab06-80e39ef12aa1" targetNamespace="http://schemas.microsoft.com/office/2006/metadata/properties" ma:root="true" ma:fieldsID="f7ad26407b4a91cfd09dd2669665acac" ns2:_="" ns3:_="">
    <xsd:import namespace="945e57da-c50d-42e8-ab32-7d1106145708"/>
    <xsd:import namespace="7be03918-918d-43f2-ab06-80e39ef12a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GD" minOccurs="0"/>
                <xsd:element ref="ns2:_x00c1_rea" minOccurs="0"/>
                <xsd:element ref="ns2:Sub_x00e1_rea" minOccurs="0"/>
                <xsd:element ref="ns2:Curso"/>
                <xsd:element ref="ns2:UnidadeCurricular" minOccurs="0"/>
                <xsd:element ref="ns2:Elemento_x002b_Recorte" minOccurs="0"/>
                <xsd:element ref="ns2:OutrosCursos" minOccurs="0"/>
                <xsd:element ref="ns2:Modalidade" minOccurs="0"/>
                <xsd:element ref="ns2:TipoRecurso" minOccurs="0"/>
                <xsd:element ref="ns2:Responsivo" minOccurs="0"/>
                <xsd:element ref="ns2:AutordoRecurso" minOccurs="0"/>
                <xsd:element ref="ns2:Restri_x00e7__x00f5_esdeUso" minOccurs="0"/>
                <xsd:element ref="ns2:Temas" minOccurs="0"/>
                <xsd:element ref="ns2:PalavrasChave" minOccurs="0"/>
                <xsd:element ref="ns2:Descri_x00e7__x00e3_oGeral" minOccurs="0"/>
                <xsd:element ref="ns2:Pago" minOccurs="0"/>
                <xsd:element ref="ns2:Situa_x00e7__x00e3_odeAprendizagem_x002f_Estrat_x00e9_gia_x002f_Pr_x00e1_ticaRelacionad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5e57da-c50d-42e8-ab32-7d11061457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GD" ma:index="15" nillable="true" ma:displayName="GD" ma:default="GD2" ma:format="Dropdown" ma:internalName="GD">
      <xsd:simpleType>
        <xsd:restriction base="dms:Text">
          <xsd:maxLength value="255"/>
        </xsd:restriction>
      </xsd:simpleType>
    </xsd:element>
    <xsd:element name="_x00c1_rea" ma:index="16" nillable="true" ma:displayName="Área" ma:default="Tecnologia e Informação" ma:format="Dropdown" ma:internalName="_x00c1_rea">
      <xsd:simpleType>
        <xsd:restriction base="dms:Text">
          <xsd:maxLength value="255"/>
        </xsd:restriction>
      </xsd:simpleType>
    </xsd:element>
    <xsd:element name="Sub_x00e1_rea" ma:index="17" nillable="true" ma:displayName="Subárea" ma:default="Gestão em TI e Desenvolvimento de Sistemas" ma:format="Dropdown" ma:internalName="Sub_x00e1_rea">
      <xsd:simpleType>
        <xsd:restriction base="dms:Text">
          <xsd:maxLength value="255"/>
        </xsd:restriction>
      </xsd:simpleType>
    </xsd:element>
    <xsd:element name="Curso" ma:index="18" ma:displayName="Curso" ma:format="Dropdown" ma:internalName="Curso">
      <xsd:simpleType>
        <xsd:restriction base="dms:Text">
          <xsd:maxLength value="255"/>
        </xsd:restriction>
      </xsd:simpleType>
    </xsd:element>
    <xsd:element name="UnidadeCurricular" ma:index="19" nillable="true" ma:displayName="Unidade Curricular" ma:format="Dropdown" ma:internalName="UnidadeCurricular">
      <xsd:simpleType>
        <xsd:restriction base="dms:Choice">
          <xsd:enumeration value="UC1"/>
          <xsd:enumeration value="UC2"/>
          <xsd:enumeration value="UC3"/>
          <xsd:enumeration value="UC4"/>
          <xsd:enumeration value="UC5"/>
          <xsd:enumeration value="UC6"/>
          <xsd:enumeration value="UC7"/>
          <xsd:enumeration value="UC8"/>
          <xsd:enumeration value="UC9"/>
          <xsd:enumeration value="UC10"/>
          <xsd:enumeration value="UC11"/>
          <xsd:enumeration value="UC12"/>
          <xsd:enumeration value="Transversal"/>
          <xsd:enumeration value="Geral"/>
          <xsd:enumeration value="Não se aplica"/>
        </xsd:restriction>
      </xsd:simpleType>
    </xsd:element>
    <xsd:element name="Elemento_x002b_Recorte" ma:index="20" nillable="true" ma:displayName="Elemento + Recorte" ma:description="Caso esteja especificamente relacionada ao curso." ma:format="Dropdown" ma:internalName="Elemento_x002b_Recorte">
      <xsd:simpleType>
        <xsd:restriction base="dms:Note">
          <xsd:maxLength value="255"/>
        </xsd:restriction>
      </xsd:simpleType>
    </xsd:element>
    <xsd:element name="OutrosCursos" ma:index="21" nillable="true" ma:displayName="Outros Cursos" ma:description="Outros cursos que podem se interessar pelo recurso." ma:format="Dropdown" ma:internalName="OutrosCursos">
      <xsd:simpleType>
        <xsd:restriction base="dms:Note">
          <xsd:maxLength value="255"/>
        </xsd:restriction>
      </xsd:simpleType>
    </xsd:element>
    <xsd:element name="Modalidade" ma:index="22" nillable="true" ma:displayName="Modalidade" ma:default="Habilitação Profissional Técnica De Nível Médio" ma:format="Dropdown" ma:internalName="Modalidade">
      <xsd:simpleType>
        <xsd:restriction base="dms:Text">
          <xsd:maxLength value="255"/>
        </xsd:restriction>
      </xsd:simpleType>
    </xsd:element>
    <xsd:element name="TipoRecurso" ma:index="23" nillable="true" ma:displayName="Tipo Recurso" ma:format="Dropdown" ma:internalName="TipoRecurso">
      <xsd:simpleType>
        <xsd:restriction base="dms:Choice">
          <xsd:enumeration value="Textos"/>
          <xsd:enumeration value="Imagens"/>
          <xsd:enumeration value="Vídeos"/>
          <xsd:enumeration value="Áudios"/>
          <xsd:enumeration value="Páginas web"/>
          <xsd:enumeration value="Capítulos"/>
          <xsd:enumeration value="Livros"/>
          <xsd:enumeration value="Artigos"/>
          <xsd:enumeration value="Slides"/>
          <xsd:enumeration value="Apostilas"/>
          <xsd:enumeration value="Tutoriais"/>
          <xsd:enumeration value="Animações"/>
          <xsd:enumeration value="Infográficos"/>
          <xsd:enumeration value="Jogos"/>
          <xsd:enumeration value="Outros"/>
        </xsd:restriction>
      </xsd:simpleType>
    </xsd:element>
    <xsd:element name="Responsivo" ma:index="24" nillable="true" ma:displayName="Responsivo" ma:description="Se o recurso roda em diferentes plataformas" ma:format="Dropdown" ma:internalName="Responsivo">
      <xsd:simpleType>
        <xsd:restriction base="dms:Choice">
          <xsd:enumeration value="Sim"/>
          <xsd:enumeration value="Não"/>
        </xsd:restriction>
      </xsd:simpleType>
    </xsd:element>
    <xsd:element name="AutordoRecurso" ma:index="25" nillable="true" ma:displayName="Autor do Recurso" ma:format="Dropdown" ma:internalName="AutordoRecurso">
      <xsd:simpleType>
        <xsd:restriction base="dms:Text">
          <xsd:maxLength value="255"/>
        </xsd:restriction>
      </xsd:simpleType>
    </xsd:element>
    <xsd:element name="Restri_x00e7__x00f5_esdeUso" ma:index="26" nillable="true" ma:displayName="Restrições de Uso" ma:format="Dropdown" ma:internalName="Restri_x00e7__x00f5_esdeUso">
      <xsd:simpleType>
        <xsd:restriction base="dms:Note">
          <xsd:maxLength value="255"/>
        </xsd:restriction>
      </xsd:simpleType>
    </xsd:element>
    <xsd:element name="Temas" ma:index="27" nillable="true" ma:displayName="Temas" ma:format="Dropdown" ma:internalName="Temas">
      <xsd:simpleType>
        <xsd:restriction base="dms:Text">
          <xsd:maxLength value="255"/>
        </xsd:restriction>
      </xsd:simpleType>
    </xsd:element>
    <xsd:element name="PalavrasChave" ma:index="28" nillable="true" ma:displayName="Palavras Chave" ma:description="Inserir, no mínimo, duas palavras." ma:format="Dropdown" ma:internalName="PalavrasChave">
      <xsd:simpleType>
        <xsd:restriction base="dms:Text">
          <xsd:maxLength value="255"/>
        </xsd:restriction>
      </xsd:simpleType>
    </xsd:element>
    <xsd:element name="Descri_x00e7__x00e3_oGeral" ma:index="29" nillable="true" ma:displayName="Descrição Geral" ma:format="Dropdown" ma:internalName="Descri_x00e7__x00e3_oGeral">
      <xsd:simpleType>
        <xsd:restriction base="dms:Note">
          <xsd:maxLength value="255"/>
        </xsd:restriction>
      </xsd:simpleType>
    </xsd:element>
    <xsd:element name="Pago" ma:index="30" nillable="true" ma:displayName="Pago" ma:format="Dropdown" ma:internalName="Pago">
      <xsd:simpleType>
        <xsd:restriction base="dms:Choice">
          <xsd:enumeration value="Sim"/>
          <xsd:enumeration value="Não"/>
        </xsd:restriction>
      </xsd:simpleType>
    </xsd:element>
    <xsd:element name="Situa_x00e7__x00e3_odeAprendizagem_x002f_Estrat_x00e9_gia_x002f_Pr_x00e1_ticaRelacionada" ma:index="31" nillable="true" ma:displayName="Situação de Aprendizagem / Estratégia / Prática Relacionada" ma:format="Dropdown" ma:internalName="Situa_x00e7__x00e3_odeAprendizagem_x002f_Estrat_x00e9_gia_x002f_Pr_x00e1_ticaRelacionada">
      <xsd:simpleType>
        <xsd:restriction base="dms:Note">
          <xsd:maxLength value="255"/>
        </xsd:restriction>
      </xsd:simpleType>
    </xsd:element>
    <xsd:element name="MediaServiceAutoKeyPoints" ma:index="3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e03918-918d-43f2-ab06-80e39ef12aa1" elementFormDefault="qualified">
    <xsd:import namespace="http://schemas.microsoft.com/office/2006/documentManagement/types"/>
    <xsd:import namespace="http://schemas.microsoft.com/office/infopath/2007/PartnerControls"/>
    <xsd:element name="SharedWithUsers" ma:index="3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escri_x00e7__x00e3_oGeral xmlns="945e57da-c50d-42e8-ab32-7d1106145708" xsi:nil="true"/>
    <Responsivo xmlns="945e57da-c50d-42e8-ab32-7d1106145708">true</Responsivo>
    <Pago xmlns="945e57da-c50d-42e8-ab32-7d1106145708">true</Pago>
    <Curso xmlns="945e57da-c50d-42e8-ab32-7d1106145708"/>
    <OutrosCursos xmlns="945e57da-c50d-42e8-ab32-7d1106145708" xsi:nil="true"/>
    <GD xmlns="945e57da-c50d-42e8-ab32-7d1106145708">GD2</GD>
    <Sub_x00e1_rea xmlns="945e57da-c50d-42e8-ab32-7d1106145708">Gestão em TI e Desenvolvimento de Sistemas</Sub_x00e1_rea>
    <PalavrasChave xmlns="945e57da-c50d-42e8-ab32-7d1106145708" xsi:nil="true"/>
    <Situa_x00e7__x00e3_odeAprendizagem_x002f_Estrat_x00e9_gia_x002f_Pr_x00e1_ticaRelacionada xmlns="945e57da-c50d-42e8-ab32-7d1106145708" xsi:nil="true"/>
    <UnidadeCurricular xmlns="945e57da-c50d-42e8-ab32-7d1106145708" xsi:nil="true"/>
    <TipoRecurso xmlns="945e57da-c50d-42e8-ab32-7d1106145708" xsi:nil="true"/>
    <Modalidade xmlns="945e57da-c50d-42e8-ab32-7d1106145708">Habilitação Profissional Técnica De Nível Médio</Modalidade>
    <Temas xmlns="945e57da-c50d-42e8-ab32-7d1106145708" xsi:nil="true"/>
    <Restri_x00e7__x00f5_esdeUso xmlns="945e57da-c50d-42e8-ab32-7d1106145708" xsi:nil="true"/>
    <Elemento_x002b_Recorte xmlns="945e57da-c50d-42e8-ab32-7d1106145708" xsi:nil="true"/>
    <_x00c1_rea xmlns="945e57da-c50d-42e8-ab32-7d1106145708">Tecnologia e Informação</_x00c1_rea>
    <AutordoRecurso xmlns="945e57da-c50d-42e8-ab32-7d1106145708" xsi:nil="true"/>
  </documentManagement>
</p:properties>
</file>

<file path=customXml/itemProps1.xml><?xml version="1.0" encoding="utf-8"?>
<ds:datastoreItem xmlns:ds="http://schemas.openxmlformats.org/officeDocument/2006/customXml" ds:itemID="{A96E3713-8B16-4908-B774-1D924A83720D}"/>
</file>

<file path=customXml/itemProps2.xml><?xml version="1.0" encoding="utf-8"?>
<ds:datastoreItem xmlns:ds="http://schemas.openxmlformats.org/officeDocument/2006/customXml" ds:itemID="{998C7DC0-EE8C-4370-9471-0215CD8414CD}"/>
</file>

<file path=customXml/itemProps3.xml><?xml version="1.0" encoding="utf-8"?>
<ds:datastoreItem xmlns:ds="http://schemas.openxmlformats.org/officeDocument/2006/customXml" ds:itemID="{2113C2DB-A96A-4ECA-9C11-A106E11012A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Exemplo1</vt:lpstr>
      <vt:lpstr>Exemplo2</vt:lpstr>
      <vt:lpstr>Exemplo3</vt:lpstr>
      <vt:lpstr>Exemplo4</vt:lpstr>
      <vt:lpstr>Exemplo5</vt:lpstr>
      <vt:lpstr>Exemplo6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</dc:creator>
  <cp:lastModifiedBy>User</cp:lastModifiedBy>
  <dcterms:created xsi:type="dcterms:W3CDTF">2015-02-14T17:36:10Z</dcterms:created>
  <dcterms:modified xsi:type="dcterms:W3CDTF">2019-05-21T17:17:44Z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0x0101009BF8F20DACDC524AA97E5D5AD11D1010</vt:lpwstr>
  </property>
</Properties>
</file>