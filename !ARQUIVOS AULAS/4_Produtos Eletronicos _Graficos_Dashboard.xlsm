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esktop\Arquivos_Gerais\Caderno Exercícios Dashboard 2019\Caderno_Exercícios\"/>
    </mc:Choice>
  </mc:AlternateContent>
  <xr:revisionPtr revIDLastSave="0" documentId="13_ncr:1_{F9813BB9-2C19-4AE7-AD80-D8BD096668F8}" xr6:coauthVersionLast="36" xr6:coauthVersionMax="36" xr10:uidLastSave="{00000000-0000-0000-0000-000000000000}"/>
  <bookViews>
    <workbookView xWindow="0" yWindow="0" windowWidth="20490" windowHeight="7755" tabRatio="939" xr2:uid="{00000000-000D-0000-FFFF-FFFF00000000}"/>
  </bookViews>
  <sheets>
    <sheet name="Rept_SE" sheetId="26" r:id="rId1"/>
    <sheet name="Exemplo1" sheetId="7" r:id="rId2"/>
    <sheet name="Exemplo2" sheetId="17" r:id="rId3"/>
    <sheet name="Exemplo3" sheetId="28" r:id="rId4"/>
    <sheet name="Exemplo4_Resumo" sheetId="24" r:id="rId5"/>
    <sheet name="Exemplo4" sheetId="31" r:id="rId6"/>
    <sheet name="Exemplo5" sheetId="25" r:id="rId7"/>
    <sheet name="Exemplo6" sheetId="38" r:id="rId8"/>
    <sheet name="Exemplo7" sheetId="44" r:id="rId9"/>
    <sheet name="Exemplo8" sheetId="36" r:id="rId10"/>
  </sheets>
  <definedNames>
    <definedName name="_xlnm._FilterDatabase" localSheetId="2" hidden="1">Exemplo2!$F$1:$G$10</definedName>
    <definedName name="_xlnm._FilterDatabase" localSheetId="3" hidden="1">Exemplo3!$F$1:$H$10</definedName>
    <definedName name="_xlnm._FilterDatabase" localSheetId="5" hidden="1">Exemplo4!$A$2:$E$18</definedName>
    <definedName name="_xlnm._FilterDatabase" localSheetId="4" hidden="1">Exemplo4_Resumo!#REF!</definedName>
    <definedName name="_xlnm._FilterDatabase" localSheetId="9" hidden="1">Exemplo8!$A$2:$E$18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38" l="1"/>
  <c r="C7" i="25" l="1"/>
  <c r="E17" i="7"/>
  <c r="F17" i="7" s="1"/>
  <c r="D17" i="7"/>
  <c r="E16" i="7"/>
  <c r="F16" i="7" s="1"/>
  <c r="D16" i="7"/>
  <c r="E15" i="7"/>
  <c r="F15" i="7" s="1"/>
  <c r="D15" i="7"/>
  <c r="E14" i="7"/>
  <c r="F14" i="7" s="1"/>
  <c r="D14" i="7"/>
  <c r="E13" i="7"/>
  <c r="F13" i="7" s="1"/>
  <c r="D13" i="7"/>
  <c r="E12" i="7"/>
  <c r="F12" i="7" s="1"/>
  <c r="D12" i="7"/>
  <c r="E11" i="7"/>
  <c r="F11" i="7" s="1"/>
  <c r="D11" i="7"/>
  <c r="E10" i="7"/>
  <c r="F10" i="7" s="1"/>
  <c r="D10" i="7"/>
  <c r="E9" i="7"/>
  <c r="F9" i="7" s="1"/>
  <c r="D9" i="7"/>
  <c r="E8" i="7"/>
  <c r="F8" i="7" s="1"/>
  <c r="D8" i="7"/>
  <c r="E7" i="7"/>
  <c r="F7" i="7" s="1"/>
  <c r="D7" i="7"/>
  <c r="E6" i="7"/>
  <c r="F6" i="7" s="1"/>
  <c r="D6" i="7"/>
  <c r="E5" i="7"/>
  <c r="F5" i="7" s="1"/>
  <c r="D5" i="7"/>
  <c r="E4" i="7"/>
  <c r="F4" i="7" s="1"/>
  <c r="D4" i="7"/>
</calcChain>
</file>

<file path=xl/sharedStrings.xml><?xml version="1.0" encoding="utf-8"?>
<sst xmlns="http://schemas.openxmlformats.org/spreadsheetml/2006/main" count="298" uniqueCount="67">
  <si>
    <t>Produtos eletrônicos</t>
  </si>
  <si>
    <t>Quantidade</t>
  </si>
  <si>
    <t>TV</t>
  </si>
  <si>
    <t>Celular</t>
  </si>
  <si>
    <t>Tablet</t>
  </si>
  <si>
    <t>iPad</t>
  </si>
  <si>
    <t>Valor Total</t>
  </si>
  <si>
    <t>Preço Unitário</t>
  </si>
  <si>
    <t>Resultados condicionais</t>
  </si>
  <si>
    <t>Resultado</t>
  </si>
  <si>
    <t>Valor</t>
  </si>
  <si>
    <t>Reajuste</t>
  </si>
  <si>
    <t>Total com Reajuste</t>
  </si>
  <si>
    <t>Jan</t>
  </si>
  <si>
    <t>Fev</t>
  </si>
  <si>
    <t>Mar</t>
  </si>
  <si>
    <t>Qtd - Produtos meses</t>
  </si>
  <si>
    <t>Total</t>
  </si>
  <si>
    <t>Fatura</t>
  </si>
  <si>
    <t>Previsão Orçamentária</t>
  </si>
  <si>
    <t>Meses</t>
  </si>
  <si>
    <t>Set</t>
  </si>
  <si>
    <t>Out</t>
  </si>
  <si>
    <t>Nov</t>
  </si>
  <si>
    <t>Dez</t>
  </si>
  <si>
    <t>Vendas 1</t>
  </si>
  <si>
    <t>Vendas 2</t>
  </si>
  <si>
    <t>Vendas 3</t>
  </si>
  <si>
    <t>Resultado Estatístico</t>
  </si>
  <si>
    <t>Loja 1</t>
  </si>
  <si>
    <t>Loja 2</t>
  </si>
  <si>
    <t>Lojas</t>
  </si>
  <si>
    <t>Qtd1</t>
  </si>
  <si>
    <t>Qtd2</t>
  </si>
  <si>
    <t>Qtd 1</t>
  </si>
  <si>
    <t>Qtd 2</t>
  </si>
  <si>
    <t>Loja 3</t>
  </si>
  <si>
    <t>Loja 4</t>
  </si>
  <si>
    <t>Produto</t>
  </si>
  <si>
    <t>Loja</t>
  </si>
  <si>
    <t>Posição</t>
  </si>
  <si>
    <t>Cidade</t>
  </si>
  <si>
    <t>Campinas</t>
  </si>
  <si>
    <t>Sumaré</t>
  </si>
  <si>
    <t>Hortolândia</t>
  </si>
  <si>
    <t>SE(E($I$1=1;$B$21=$A$26);F3+F3*$P$2;SE(E($I$1=2;B22=$A$27);F3-F3*$P$3;F3))</t>
  </si>
  <si>
    <t>Preços - Produtos meses</t>
  </si>
  <si>
    <t>Produtos</t>
  </si>
  <si>
    <t>Ponta</t>
  </si>
  <si>
    <t>Eixo X</t>
  </si>
  <si>
    <t>Eixo Y</t>
  </si>
  <si>
    <t>Base</t>
  </si>
  <si>
    <t>Meta</t>
  </si>
  <si>
    <t>Realizado</t>
  </si>
  <si>
    <t>Alcançado</t>
  </si>
  <si>
    <t>l</t>
  </si>
  <si>
    <t>Multa</t>
  </si>
  <si>
    <t>COS(PI())*E9/D7</t>
  </si>
  <si>
    <t>SEN(PI()*E9/D7)</t>
  </si>
  <si>
    <t>⁞</t>
  </si>
  <si>
    <t>!</t>
  </si>
  <si>
    <t>:</t>
  </si>
  <si>
    <t>Soma</t>
  </si>
  <si>
    <t>Posição Ponteiro:</t>
  </si>
  <si>
    <t>Ç</t>
  </si>
  <si>
    <t>È</t>
  </si>
  <si>
    <t>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</si>
</sst>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-* #,##0_-;\-* #,##0_-;_-* &quot;-&quot;??_-;_-@_-"/>
    <numFmt numFmtId="166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2"/>
      <color theme="1"/>
      <name val="Verdana"/>
      <family val="2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Wingdings 3"/>
      <family val="1"/>
      <charset val="2"/>
    </font>
    <font>
      <sz val="22"/>
      <color theme="1"/>
      <name val="Wingdings 3"/>
      <family val="1"/>
      <charset val="2"/>
    </font>
    <font>
      <sz val="11"/>
      <color theme="1"/>
      <name val="Wingdings"/>
      <charset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b/>
      <sz val="11"/>
      <color theme="1"/>
      <name val="Verdana"/>
      <family val="2"/>
    </font>
    <font>
      <b/>
      <sz val="2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5">
    <xf numFmtId="0" fontId="0" fillId="0" borderId="0" xfId="0"/>
    <xf numFmtId="164" fontId="0" fillId="0" borderId="0" xfId="2" applyFont="1"/>
    <xf numFmtId="0" fontId="2" fillId="0" borderId="1" xfId="0" applyFont="1" applyBorder="1"/>
    <xf numFmtId="164" fontId="2" fillId="0" borderId="1" xfId="2" applyFont="1" applyBorder="1"/>
    <xf numFmtId="0" fontId="0" fillId="0" borderId="1" xfId="0" applyBorder="1"/>
    <xf numFmtId="164" fontId="0" fillId="0" borderId="1" xfId="2" applyFont="1" applyBorder="1"/>
    <xf numFmtId="165" fontId="0" fillId="0" borderId="1" xfId="1" applyNumberFormat="1" applyFont="1" applyBorder="1"/>
    <xf numFmtId="16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64" fontId="5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2" fillId="0" borderId="1" xfId="2" applyNumberFormat="1" applyFont="1" applyBorder="1"/>
    <xf numFmtId="166" fontId="2" fillId="0" borderId="1" xfId="2" applyNumberFormat="1" applyFont="1" applyBorder="1"/>
    <xf numFmtId="43" fontId="0" fillId="0" borderId="1" xfId="1" applyFont="1" applyBorder="1"/>
    <xf numFmtId="166" fontId="0" fillId="0" borderId="1" xfId="3" applyNumberFormat="1" applyFont="1" applyBorder="1"/>
    <xf numFmtId="165" fontId="0" fillId="0" borderId="0" xfId="0" applyNumberFormat="1"/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0" xfId="0" applyBorder="1" applyAlignment="1"/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9" fillId="0" borderId="0" xfId="0" applyFont="1"/>
    <xf numFmtId="0" fontId="10" fillId="0" borderId="1" xfId="0" applyFont="1" applyBorder="1"/>
    <xf numFmtId="43" fontId="0" fillId="0" borderId="1" xfId="1" applyFont="1" applyBorder="1" applyProtection="1">
      <protection locked="0"/>
    </xf>
    <xf numFmtId="9" fontId="0" fillId="0" borderId="0" xfId="3" applyFont="1"/>
    <xf numFmtId="0" fontId="4" fillId="2" borderId="1" xfId="0" applyFont="1" applyFill="1" applyBorder="1"/>
    <xf numFmtId="0" fontId="4" fillId="3" borderId="1" xfId="0" applyFont="1" applyFill="1" applyBorder="1"/>
    <xf numFmtId="0" fontId="11" fillId="0" borderId="1" xfId="0" applyFont="1" applyBorder="1"/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/>
    <xf numFmtId="0" fontId="13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 vertical="center"/>
    </xf>
    <xf numFmtId="0" fontId="12" fillId="0" borderId="6" xfId="0" applyFont="1" applyBorder="1"/>
    <xf numFmtId="0" fontId="11" fillId="0" borderId="6" xfId="0" applyFont="1" applyBorder="1" applyAlignment="1">
      <alignment horizontal="center"/>
    </xf>
    <xf numFmtId="9" fontId="12" fillId="0" borderId="6" xfId="3" applyFont="1" applyBorder="1" applyAlignment="1">
      <alignment horizontal="center"/>
    </xf>
    <xf numFmtId="0" fontId="16" fillId="0" borderId="1" xfId="0" applyFont="1" applyBorder="1"/>
    <xf numFmtId="0" fontId="15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7" fillId="0" borderId="1" xfId="0" applyFont="1" applyBorder="1"/>
    <xf numFmtId="0" fontId="18" fillId="0" borderId="1" xfId="0" applyFont="1" applyBorder="1"/>
    <xf numFmtId="0" fontId="3" fillId="2" borderId="1" xfId="0" applyFont="1" applyFill="1" applyBorder="1" applyAlignment="1"/>
    <xf numFmtId="0" fontId="4" fillId="0" borderId="1" xfId="0" applyFont="1" applyBorder="1" applyAlignment="1">
      <alignment horizontal="center" vertical="center" wrapText="1"/>
    </xf>
    <xf numFmtId="0" fontId="20" fillId="0" borderId="1" xfId="0" applyFont="1" applyBorder="1"/>
    <xf numFmtId="165" fontId="20" fillId="0" borderId="1" xfId="1" applyNumberFormat="1" applyFont="1" applyBorder="1"/>
    <xf numFmtId="0" fontId="4" fillId="4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/>
    <xf numFmtId="165" fontId="20" fillId="0" borderId="0" xfId="0" applyNumberFormat="1" applyFont="1"/>
    <xf numFmtId="0" fontId="4" fillId="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43" fontId="20" fillId="0" borderId="1" xfId="1" applyFont="1" applyBorder="1" applyAlignment="1">
      <alignment horizontal="left"/>
    </xf>
    <xf numFmtId="0" fontId="4" fillId="0" borderId="1" xfId="0" applyFont="1" applyBorder="1" applyAlignment="1">
      <alignment horizontal="left" vertical="center" wrapText="1"/>
    </xf>
    <xf numFmtId="0" fontId="4" fillId="0" borderId="16" xfId="0" applyFont="1" applyBorder="1"/>
    <xf numFmtId="164" fontId="20" fillId="0" borderId="0" xfId="2" applyFont="1"/>
    <xf numFmtId="164" fontId="4" fillId="0" borderId="1" xfId="2" applyFont="1" applyBorder="1"/>
    <xf numFmtId="164" fontId="20" fillId="0" borderId="1" xfId="2" applyFont="1" applyBorder="1"/>
    <xf numFmtId="0" fontId="19" fillId="4" borderId="1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64" fontId="2" fillId="0" borderId="6" xfId="2" applyFont="1" applyBorder="1" applyAlignment="1">
      <alignment horizontal="left"/>
    </xf>
    <xf numFmtId="164" fontId="2" fillId="0" borderId="7" xfId="2" applyFont="1" applyBorder="1" applyAlignment="1">
      <alignment horizontal="left"/>
    </xf>
    <xf numFmtId="0" fontId="2" fillId="0" borderId="1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13">
    <dxf>
      <font>
        <color rgb="FFFF0000"/>
      </font>
    </dxf>
    <dxf>
      <font>
        <color rgb="FFFFFF00"/>
      </font>
    </dxf>
    <dxf>
      <font>
        <color rgb="FF00B050"/>
      </font>
    </dxf>
    <dxf>
      <font>
        <color theme="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color rgb="FF0070C0"/>
      </font>
    </dxf>
    <dxf>
      <font>
        <color theme="5"/>
      </font>
    </dxf>
    <dxf>
      <font>
        <color rgb="FF0070C0"/>
      </font>
    </dxf>
    <dxf>
      <font>
        <color theme="5"/>
      </font>
    </dxf>
    <dxf>
      <font>
        <color rgb="FF0070C0"/>
      </font>
    </dxf>
    <dxf>
      <font>
        <color theme="5"/>
      </font>
    </dxf>
  </dxfs>
  <tableStyles count="0" defaultTableStyle="TableStyleMedium2" defaultPivotStyle="PivotStyleLight16"/>
  <colors>
    <mruColors>
      <color rgb="FF00FF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L18"/>
  <sheetViews>
    <sheetView tabSelected="1" zoomScale="120" zoomScaleNormal="120" workbookViewId="0">
      <selection activeCell="B15" sqref="B15"/>
    </sheetView>
  </sheetViews>
  <sheetFormatPr defaultRowHeight="15" x14ac:dyDescent="0.25"/>
  <cols>
    <col min="1" max="1" width="14.28515625" bestFit="1" customWidth="1"/>
    <col min="2" max="3" width="12.140625" style="1" bestFit="1" customWidth="1"/>
    <col min="4" max="4" width="11.5703125" bestFit="1" customWidth="1"/>
    <col min="5" max="5" width="44.28515625" customWidth="1"/>
    <col min="6" max="9" width="5.42578125" customWidth="1"/>
    <col min="10" max="10" width="5.5703125" customWidth="1"/>
    <col min="11" max="11" width="3.28515625" customWidth="1"/>
    <col min="12" max="12" width="6" bestFit="1" customWidth="1"/>
  </cols>
  <sheetData>
    <row r="1" spans="1:12" ht="26.25" x14ac:dyDescent="0.4">
      <c r="A1" s="65" t="s">
        <v>28</v>
      </c>
      <c r="B1" s="65"/>
      <c r="C1" s="65"/>
      <c r="D1" s="65"/>
      <c r="E1" s="44"/>
      <c r="J1" s="4">
        <v>1</v>
      </c>
      <c r="K1" s="42" t="s">
        <v>55</v>
      </c>
      <c r="L1" s="4" t="s">
        <v>3</v>
      </c>
    </row>
    <row r="2" spans="1:12" x14ac:dyDescent="0.25">
      <c r="A2" s="66"/>
      <c r="B2" s="66"/>
      <c r="C2" s="66"/>
      <c r="D2" s="66"/>
      <c r="J2" s="4">
        <v>2</v>
      </c>
      <c r="K2" s="43" t="s">
        <v>60</v>
      </c>
      <c r="L2" s="4" t="s">
        <v>5</v>
      </c>
    </row>
    <row r="3" spans="1:12" ht="37.5" x14ac:dyDescent="0.25">
      <c r="A3" s="10" t="s">
        <v>0</v>
      </c>
      <c r="B3" s="11" t="s">
        <v>25</v>
      </c>
      <c r="C3" s="11" t="s">
        <v>26</v>
      </c>
      <c r="D3" s="10" t="s">
        <v>27</v>
      </c>
      <c r="E3" s="10" t="s">
        <v>9</v>
      </c>
      <c r="J3" s="4">
        <v>3</v>
      </c>
      <c r="K3" s="42" t="s">
        <v>61</v>
      </c>
      <c r="L3" s="4" t="s">
        <v>4</v>
      </c>
    </row>
    <row r="4" spans="1:12" ht="15.75" x14ac:dyDescent="0.25">
      <c r="A4" s="4" t="s">
        <v>3</v>
      </c>
      <c r="B4" s="16">
        <v>0.22500000000000001</v>
      </c>
      <c r="C4" s="16">
        <v>0.14899999999999999</v>
      </c>
      <c r="D4" s="6">
        <v>20</v>
      </c>
      <c r="E4" s="25"/>
      <c r="J4" s="4"/>
      <c r="K4" s="42" t="s">
        <v>59</v>
      </c>
      <c r="L4" s="4" t="s">
        <v>2</v>
      </c>
    </row>
    <row r="5" spans="1:12" ht="15.75" x14ac:dyDescent="0.25">
      <c r="A5" s="4" t="s">
        <v>5</v>
      </c>
      <c r="B5" s="16">
        <v>0.16500000000000001</v>
      </c>
      <c r="C5" s="16">
        <v>0.35499999999999998</v>
      </c>
      <c r="D5" s="6">
        <v>55</v>
      </c>
      <c r="E5" s="25"/>
    </row>
    <row r="6" spans="1:12" ht="15.75" x14ac:dyDescent="0.25">
      <c r="A6" s="4" t="s">
        <v>4</v>
      </c>
      <c r="B6" s="16">
        <v>0.23</v>
      </c>
      <c r="C6" s="16">
        <v>0.28699999999999998</v>
      </c>
      <c r="D6" s="6">
        <v>12</v>
      </c>
      <c r="E6" s="25"/>
    </row>
    <row r="7" spans="1:12" ht="15.75" x14ac:dyDescent="0.25">
      <c r="A7" s="4" t="s">
        <v>2</v>
      </c>
      <c r="B7" s="16">
        <v>0.38</v>
      </c>
      <c r="C7" s="16">
        <v>0.20899999999999999</v>
      </c>
      <c r="D7" s="6">
        <v>51</v>
      </c>
      <c r="E7" s="25"/>
    </row>
    <row r="8" spans="1:12" ht="15.75" x14ac:dyDescent="0.25">
      <c r="A8" s="4" t="s">
        <v>3</v>
      </c>
      <c r="B8" s="16">
        <v>0.22500000000000001</v>
      </c>
      <c r="C8" s="16">
        <v>0.14899999999999999</v>
      </c>
      <c r="D8" s="6">
        <v>2</v>
      </c>
      <c r="E8" s="25"/>
    </row>
    <row r="9" spans="1:12" ht="15.75" x14ac:dyDescent="0.25">
      <c r="A9" s="4" t="s">
        <v>5</v>
      </c>
      <c r="B9" s="16">
        <v>0.16500000000000001</v>
      </c>
      <c r="C9" s="16">
        <v>0.35499999999999998</v>
      </c>
      <c r="D9" s="6">
        <v>10</v>
      </c>
      <c r="E9" s="25"/>
    </row>
    <row r="10" spans="1:12" ht="15.75" x14ac:dyDescent="0.25">
      <c r="A10" s="4" t="s">
        <v>4</v>
      </c>
      <c r="B10" s="16">
        <v>0.23</v>
      </c>
      <c r="C10" s="16">
        <v>0.28699999999999998</v>
      </c>
      <c r="D10" s="6">
        <v>1</v>
      </c>
      <c r="E10" s="25"/>
    </row>
    <row r="11" spans="1:12" ht="15.75" x14ac:dyDescent="0.25">
      <c r="A11" s="4" t="s">
        <v>2</v>
      </c>
      <c r="B11" s="16">
        <v>0.38</v>
      </c>
      <c r="C11" s="16">
        <v>0.20899999999999999</v>
      </c>
      <c r="D11" s="6">
        <v>5</v>
      </c>
      <c r="E11" s="25"/>
    </row>
    <row r="15" spans="1:12" x14ac:dyDescent="0.25">
      <c r="A15" s="24"/>
    </row>
    <row r="16" spans="1:12" x14ac:dyDescent="0.25">
      <c r="A16" s="24"/>
    </row>
    <row r="17" spans="1:1" x14ac:dyDescent="0.25">
      <c r="A17" s="24"/>
    </row>
    <row r="18" spans="1:1" x14ac:dyDescent="0.25">
      <c r="A18" s="24"/>
    </row>
  </sheetData>
  <mergeCells count="2">
    <mergeCell ref="A1:D1"/>
    <mergeCell ref="A2:D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C000"/>
  </sheetPr>
  <dimension ref="A1:J22"/>
  <sheetViews>
    <sheetView zoomScale="110" zoomScaleNormal="110" workbookViewId="0">
      <selection activeCell="H15" sqref="H15"/>
    </sheetView>
  </sheetViews>
  <sheetFormatPr defaultRowHeight="15" x14ac:dyDescent="0.25"/>
  <cols>
    <col min="1" max="1" width="13.7109375" bestFit="1" customWidth="1"/>
    <col min="2" max="2" width="12.28515625" style="1" bestFit="1" customWidth="1"/>
    <col min="3" max="3" width="14.42578125" style="1" bestFit="1" customWidth="1"/>
    <col min="4" max="4" width="14.42578125" bestFit="1" customWidth="1"/>
    <col min="5" max="5" width="12.28515625" style="1" bestFit="1" customWidth="1"/>
    <col min="6" max="6" width="14.42578125" bestFit="1" customWidth="1"/>
    <col min="7" max="7" width="5.140625" customWidth="1"/>
    <col min="8" max="8" width="14.28515625" bestFit="1" customWidth="1"/>
    <col min="9" max="9" width="14.42578125" bestFit="1" customWidth="1"/>
    <col min="10" max="10" width="12.28515625" bestFit="1" customWidth="1"/>
  </cols>
  <sheetData>
    <row r="1" spans="1:10" ht="26.25" x14ac:dyDescent="0.4">
      <c r="A1" s="65" t="s">
        <v>8</v>
      </c>
      <c r="B1" s="65"/>
      <c r="C1" s="65"/>
      <c r="D1" s="65"/>
      <c r="E1" s="65"/>
      <c r="F1" s="65"/>
      <c r="H1" s="28"/>
      <c r="I1" s="29"/>
    </row>
    <row r="2" spans="1:10" x14ac:dyDescent="0.25">
      <c r="A2" s="67"/>
      <c r="B2" s="67"/>
      <c r="C2" s="67"/>
      <c r="D2" s="67"/>
      <c r="E2" s="67"/>
      <c r="F2" s="67"/>
    </row>
    <row r="3" spans="1:10" s="19" customFormat="1" ht="56.25" x14ac:dyDescent="0.25">
      <c r="A3" s="10" t="s">
        <v>0</v>
      </c>
      <c r="B3" s="11" t="s">
        <v>7</v>
      </c>
      <c r="C3" s="11" t="s">
        <v>1</v>
      </c>
      <c r="D3" s="10" t="s">
        <v>6</v>
      </c>
      <c r="E3" s="11" t="s">
        <v>11</v>
      </c>
      <c r="F3" s="10" t="s">
        <v>12</v>
      </c>
      <c r="H3" s="10" t="s">
        <v>0</v>
      </c>
      <c r="I3" s="11" t="s">
        <v>1</v>
      </c>
      <c r="J3" s="10" t="s">
        <v>12</v>
      </c>
    </row>
    <row r="4" spans="1:10" x14ac:dyDescent="0.25">
      <c r="A4" s="4" t="s">
        <v>2</v>
      </c>
      <c r="B4" s="5">
        <v>1200</v>
      </c>
      <c r="C4" s="6">
        <v>9</v>
      </c>
      <c r="D4" s="5">
        <f t="shared" ref="D4:D17" si="0">B4*C4</f>
        <v>10800</v>
      </c>
      <c r="E4" s="5">
        <f t="shared" ref="E4:E17" si="1">IF(B4&gt;=$B$20,B4+B4*$B$21,B4+B4*$B$22)</f>
        <v>1224</v>
      </c>
      <c r="F4" s="5">
        <f>E4*C4</f>
        <v>11016</v>
      </c>
      <c r="H4" s="4" t="s">
        <v>2</v>
      </c>
      <c r="I4" s="6"/>
      <c r="J4" s="15"/>
    </row>
    <row r="5" spans="1:10" x14ac:dyDescent="0.25">
      <c r="A5" s="4" t="s">
        <v>3</v>
      </c>
      <c r="B5" s="5">
        <v>2200</v>
      </c>
      <c r="C5" s="6">
        <v>15</v>
      </c>
      <c r="D5" s="5">
        <f t="shared" si="0"/>
        <v>33000</v>
      </c>
      <c r="E5" s="5">
        <f t="shared" si="1"/>
        <v>2244</v>
      </c>
      <c r="F5" s="5">
        <f t="shared" ref="F5:F17" si="2">E5*C5</f>
        <v>33660</v>
      </c>
      <c r="H5" s="4" t="s">
        <v>3</v>
      </c>
      <c r="I5" s="6"/>
      <c r="J5" s="15"/>
    </row>
    <row r="6" spans="1:10" x14ac:dyDescent="0.25">
      <c r="A6" s="4" t="s">
        <v>4</v>
      </c>
      <c r="B6" s="5">
        <v>1400</v>
      </c>
      <c r="C6" s="6">
        <v>101</v>
      </c>
      <c r="D6" s="5">
        <f t="shared" si="0"/>
        <v>141400</v>
      </c>
      <c r="E6" s="5">
        <f t="shared" si="1"/>
        <v>1428</v>
      </c>
      <c r="F6" s="5">
        <f t="shared" si="2"/>
        <v>144228</v>
      </c>
      <c r="H6" s="4" t="s">
        <v>4</v>
      </c>
      <c r="I6" s="6"/>
      <c r="J6" s="15"/>
    </row>
    <row r="7" spans="1:10" x14ac:dyDescent="0.25">
      <c r="A7" s="4" t="s">
        <v>5</v>
      </c>
      <c r="B7" s="5">
        <v>900</v>
      </c>
      <c r="C7" s="6">
        <v>31</v>
      </c>
      <c r="D7" s="5">
        <f t="shared" si="0"/>
        <v>27900</v>
      </c>
      <c r="E7" s="5">
        <f t="shared" si="1"/>
        <v>907.2</v>
      </c>
      <c r="F7" s="5">
        <f t="shared" si="2"/>
        <v>28123.200000000001</v>
      </c>
      <c r="H7" s="4" t="s">
        <v>5</v>
      </c>
      <c r="I7" s="6"/>
      <c r="J7" s="15"/>
    </row>
    <row r="8" spans="1:10" x14ac:dyDescent="0.25">
      <c r="A8" s="4" t="s">
        <v>2</v>
      </c>
      <c r="B8" s="5">
        <v>1200</v>
      </c>
      <c r="C8" s="6">
        <v>8</v>
      </c>
      <c r="D8" s="5">
        <f t="shared" si="0"/>
        <v>9600</v>
      </c>
      <c r="E8" s="5">
        <f t="shared" si="1"/>
        <v>1224</v>
      </c>
      <c r="F8" s="5">
        <f t="shared" si="2"/>
        <v>9792</v>
      </c>
    </row>
    <row r="9" spans="1:10" x14ac:dyDescent="0.25">
      <c r="A9" s="4" t="s">
        <v>4</v>
      </c>
      <c r="B9" s="5">
        <v>1400</v>
      </c>
      <c r="C9" s="6">
        <v>101</v>
      </c>
      <c r="D9" s="5">
        <f>B9*C9</f>
        <v>141400</v>
      </c>
      <c r="E9" s="5">
        <f t="shared" si="1"/>
        <v>1428</v>
      </c>
      <c r="F9" s="5">
        <f>E9*C9</f>
        <v>144228</v>
      </c>
    </row>
    <row r="10" spans="1:10" x14ac:dyDescent="0.25">
      <c r="A10" s="4" t="s">
        <v>5</v>
      </c>
      <c r="B10" s="5">
        <v>1200</v>
      </c>
      <c r="C10" s="6">
        <v>31</v>
      </c>
      <c r="D10" s="5">
        <f>B10*C10</f>
        <v>37200</v>
      </c>
      <c r="E10" s="5">
        <f t="shared" si="1"/>
        <v>1224</v>
      </c>
      <c r="F10" s="5">
        <f>E10*C10</f>
        <v>37944</v>
      </c>
    </row>
    <row r="11" spans="1:10" x14ac:dyDescent="0.25">
      <c r="A11" s="4" t="s">
        <v>2</v>
      </c>
      <c r="B11" s="5">
        <v>2000</v>
      </c>
      <c r="C11" s="6">
        <v>9</v>
      </c>
      <c r="D11" s="5">
        <f>B11*C11</f>
        <v>18000</v>
      </c>
      <c r="E11" s="5">
        <f t="shared" si="1"/>
        <v>2040</v>
      </c>
      <c r="F11" s="5">
        <f>E11*C11</f>
        <v>18360</v>
      </c>
    </row>
    <row r="12" spans="1:10" x14ac:dyDescent="0.25">
      <c r="A12" s="4" t="s">
        <v>5</v>
      </c>
      <c r="B12" s="5">
        <v>900</v>
      </c>
      <c r="C12" s="6">
        <v>31</v>
      </c>
      <c r="D12" s="5">
        <f>B12*C12</f>
        <v>27900</v>
      </c>
      <c r="E12" s="5">
        <f t="shared" si="1"/>
        <v>907.2</v>
      </c>
      <c r="F12" s="5">
        <f>E12*C12</f>
        <v>28123.200000000001</v>
      </c>
    </row>
    <row r="13" spans="1:10" x14ac:dyDescent="0.25">
      <c r="A13" s="4" t="s">
        <v>3</v>
      </c>
      <c r="B13" s="5">
        <v>2200</v>
      </c>
      <c r="C13" s="6">
        <v>120</v>
      </c>
      <c r="D13" s="5">
        <f t="shared" si="0"/>
        <v>264000</v>
      </c>
      <c r="E13" s="5">
        <f t="shared" si="1"/>
        <v>2244</v>
      </c>
      <c r="F13" s="5">
        <f t="shared" si="2"/>
        <v>269280</v>
      </c>
    </row>
    <row r="14" spans="1:10" x14ac:dyDescent="0.25">
      <c r="A14" s="4" t="s">
        <v>4</v>
      </c>
      <c r="B14" s="5">
        <v>1400</v>
      </c>
      <c r="C14" s="6">
        <v>12</v>
      </c>
      <c r="D14" s="5">
        <f t="shared" si="0"/>
        <v>16800</v>
      </c>
      <c r="E14" s="5">
        <f t="shared" si="1"/>
        <v>1428</v>
      </c>
      <c r="F14" s="5">
        <f t="shared" si="2"/>
        <v>17136</v>
      </c>
    </row>
    <row r="15" spans="1:10" x14ac:dyDescent="0.25">
      <c r="A15" s="4" t="s">
        <v>5</v>
      </c>
      <c r="B15" s="5">
        <v>900</v>
      </c>
      <c r="C15" s="6">
        <v>55</v>
      </c>
      <c r="D15" s="5">
        <f t="shared" si="0"/>
        <v>49500</v>
      </c>
      <c r="E15" s="5">
        <f t="shared" si="1"/>
        <v>907.2</v>
      </c>
      <c r="F15" s="5">
        <f t="shared" si="2"/>
        <v>49896</v>
      </c>
    </row>
    <row r="16" spans="1:10" x14ac:dyDescent="0.25">
      <c r="A16" s="4" t="s">
        <v>2</v>
      </c>
      <c r="B16" s="5">
        <v>1200</v>
      </c>
      <c r="C16" s="6">
        <v>200</v>
      </c>
      <c r="D16" s="5">
        <f t="shared" si="0"/>
        <v>240000</v>
      </c>
      <c r="E16" s="5">
        <f t="shared" si="1"/>
        <v>1224</v>
      </c>
      <c r="F16" s="5">
        <f t="shared" si="2"/>
        <v>244800</v>
      </c>
      <c r="H16" s="7"/>
    </row>
    <row r="17" spans="1:9" x14ac:dyDescent="0.25">
      <c r="A17" s="4" t="s">
        <v>3</v>
      </c>
      <c r="B17" s="5">
        <v>2200</v>
      </c>
      <c r="C17" s="6">
        <v>30</v>
      </c>
      <c r="D17" s="5">
        <f t="shared" si="0"/>
        <v>66000</v>
      </c>
      <c r="E17" s="5">
        <f t="shared" si="1"/>
        <v>2244</v>
      </c>
      <c r="F17" s="5">
        <f t="shared" si="2"/>
        <v>67320</v>
      </c>
      <c r="I17" s="7"/>
    </row>
    <row r="19" spans="1:9" hidden="1" x14ac:dyDescent="0.25">
      <c r="A19" s="2" t="s">
        <v>1</v>
      </c>
      <c r="B19" s="3" t="s">
        <v>10</v>
      </c>
    </row>
    <row r="20" spans="1:9" hidden="1" x14ac:dyDescent="0.25">
      <c r="A20" s="2">
        <v>100</v>
      </c>
      <c r="B20" s="3">
        <v>1000</v>
      </c>
    </row>
    <row r="21" spans="1:9" hidden="1" x14ac:dyDescent="0.25">
      <c r="A21" s="2">
        <v>50</v>
      </c>
      <c r="B21" s="13">
        <v>0.02</v>
      </c>
    </row>
    <row r="22" spans="1:9" hidden="1" x14ac:dyDescent="0.25">
      <c r="A22" s="2"/>
      <c r="B22" s="14">
        <v>8.0000000000000002E-3</v>
      </c>
    </row>
  </sheetData>
  <mergeCells count="2">
    <mergeCell ref="A2:F2"/>
    <mergeCell ref="A1:F1"/>
  </mergeCells>
  <conditionalFormatting sqref="E4:E8 E13:E17">
    <cfRule type="cellIs" dxfId="12" priority="5" operator="equal">
      <formula>"I"</formula>
    </cfRule>
    <cfRule type="cellIs" dxfId="11" priority="9" operator="equal">
      <formula>$A$13</formula>
    </cfRule>
  </conditionalFormatting>
  <conditionalFormatting sqref="E9:E11">
    <cfRule type="cellIs" dxfId="10" priority="3" operator="equal">
      <formula>"I"</formula>
    </cfRule>
    <cfRule type="cellIs" dxfId="9" priority="4" operator="equal">
      <formula>$A$13</formula>
    </cfRule>
  </conditionalFormatting>
  <conditionalFormatting sqref="E12">
    <cfRule type="cellIs" dxfId="8" priority="1" operator="equal">
      <formula>"I"</formula>
    </cfRule>
    <cfRule type="cellIs" dxfId="7" priority="2" operator="equal">
      <formula>$A$13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3"/>
  <dimension ref="A1:L17"/>
  <sheetViews>
    <sheetView zoomScale="120" zoomScaleNormal="120" workbookViewId="0">
      <selection activeCell="I12" sqref="I12"/>
    </sheetView>
  </sheetViews>
  <sheetFormatPr defaultColWidth="10" defaultRowHeight="15" x14ac:dyDescent="0.25"/>
  <cols>
    <col min="1" max="1" width="11" bestFit="1" customWidth="1"/>
    <col min="2" max="2" width="6.28515625" bestFit="1" customWidth="1"/>
    <col min="3" max="4" width="7.42578125" style="1" bestFit="1" customWidth="1"/>
    <col min="5" max="5" width="5.28515625" customWidth="1"/>
    <col min="6" max="6" width="11" bestFit="1" customWidth="1"/>
    <col min="7" max="7" width="8.85546875" bestFit="1" customWidth="1"/>
    <col min="8" max="8" width="8.140625" bestFit="1" customWidth="1"/>
    <col min="10" max="11" width="7.85546875" customWidth="1"/>
    <col min="12" max="12" width="6.28515625" bestFit="1" customWidth="1"/>
  </cols>
  <sheetData>
    <row r="1" spans="1:12" ht="21" x14ac:dyDescent="0.25">
      <c r="A1" s="68" t="s">
        <v>16</v>
      </c>
      <c r="B1" s="68"/>
      <c r="C1" s="68"/>
      <c r="D1" s="68"/>
      <c r="F1" s="48" t="s">
        <v>39</v>
      </c>
      <c r="G1" s="46"/>
      <c r="H1" s="48" t="s">
        <v>38</v>
      </c>
      <c r="I1" s="46"/>
      <c r="L1" s="4" t="s">
        <v>3</v>
      </c>
    </row>
    <row r="2" spans="1:12" s="9" customFormat="1" ht="47.25" x14ac:dyDescent="0.25">
      <c r="A2" s="45" t="s">
        <v>0</v>
      </c>
      <c r="B2" s="45" t="s">
        <v>31</v>
      </c>
      <c r="C2" s="45" t="s">
        <v>32</v>
      </c>
      <c r="D2" s="45" t="s">
        <v>33</v>
      </c>
      <c r="F2" s="45" t="s">
        <v>31</v>
      </c>
      <c r="G2" s="45" t="s">
        <v>34</v>
      </c>
      <c r="H2" s="45" t="s">
        <v>35</v>
      </c>
      <c r="I2" s="45" t="s">
        <v>17</v>
      </c>
      <c r="L2" s="4" t="s">
        <v>5</v>
      </c>
    </row>
    <row r="3" spans="1:12" ht="15.75" x14ac:dyDescent="0.25">
      <c r="A3" s="46" t="s">
        <v>3</v>
      </c>
      <c r="B3" s="46" t="s">
        <v>29</v>
      </c>
      <c r="C3" s="47">
        <v>340</v>
      </c>
      <c r="D3" s="47">
        <v>300</v>
      </c>
      <c r="F3" s="46" t="s">
        <v>29</v>
      </c>
      <c r="G3" s="49"/>
      <c r="H3" s="49"/>
      <c r="I3" s="49"/>
      <c r="L3" s="4" t="s">
        <v>4</v>
      </c>
    </row>
    <row r="4" spans="1:12" ht="15.75" x14ac:dyDescent="0.25">
      <c r="A4" s="46" t="s">
        <v>3</v>
      </c>
      <c r="B4" s="46" t="s">
        <v>30</v>
      </c>
      <c r="C4" s="47">
        <v>890</v>
      </c>
      <c r="D4" s="47">
        <v>257</v>
      </c>
      <c r="F4" s="46" t="s">
        <v>30</v>
      </c>
      <c r="G4" s="49"/>
      <c r="H4" s="49"/>
      <c r="I4" s="49"/>
      <c r="L4" s="4" t="s">
        <v>2</v>
      </c>
    </row>
    <row r="5" spans="1:12" ht="15.75" x14ac:dyDescent="0.25">
      <c r="A5" s="46" t="s">
        <v>3</v>
      </c>
      <c r="B5" s="46" t="s">
        <v>36</v>
      </c>
      <c r="C5" s="47">
        <v>350</v>
      </c>
      <c r="D5" s="47">
        <v>189</v>
      </c>
      <c r="F5" s="46" t="s">
        <v>36</v>
      </c>
      <c r="G5" s="49"/>
      <c r="H5" s="49"/>
      <c r="I5" s="49"/>
    </row>
    <row r="6" spans="1:12" ht="15.75" x14ac:dyDescent="0.25">
      <c r="A6" s="46" t="s">
        <v>3</v>
      </c>
      <c r="B6" s="46" t="s">
        <v>37</v>
      </c>
      <c r="C6" s="47">
        <v>230</v>
      </c>
      <c r="D6" s="47">
        <v>399</v>
      </c>
      <c r="F6" s="46" t="s">
        <v>37</v>
      </c>
      <c r="G6" s="49"/>
      <c r="H6" s="49"/>
      <c r="I6" s="49"/>
    </row>
    <row r="7" spans="1:12" ht="15.75" x14ac:dyDescent="0.25">
      <c r="A7" s="46" t="s">
        <v>5</v>
      </c>
      <c r="B7" s="46" t="s">
        <v>29</v>
      </c>
      <c r="C7" s="47">
        <v>340</v>
      </c>
      <c r="D7" s="47">
        <v>400</v>
      </c>
    </row>
    <row r="8" spans="1:12" ht="15.75" x14ac:dyDescent="0.25">
      <c r="A8" s="46" t="s">
        <v>5</v>
      </c>
      <c r="B8" s="46" t="s">
        <v>30</v>
      </c>
      <c r="C8" s="47">
        <v>300</v>
      </c>
      <c r="D8" s="47">
        <v>431</v>
      </c>
    </row>
    <row r="9" spans="1:12" ht="15.75" x14ac:dyDescent="0.25">
      <c r="A9" s="46" t="s">
        <v>4</v>
      </c>
      <c r="B9" s="46" t="s">
        <v>29</v>
      </c>
      <c r="C9" s="47">
        <v>457</v>
      </c>
      <c r="D9" s="47">
        <v>423</v>
      </c>
    </row>
    <row r="10" spans="1:12" ht="15.75" x14ac:dyDescent="0.25">
      <c r="A10" s="46" t="s">
        <v>4</v>
      </c>
      <c r="B10" s="46" t="s">
        <v>30</v>
      </c>
      <c r="C10" s="47">
        <v>290</v>
      </c>
      <c r="D10" s="47">
        <v>368</v>
      </c>
    </row>
    <row r="11" spans="1:12" ht="15.75" x14ac:dyDescent="0.25">
      <c r="A11" s="46" t="s">
        <v>4</v>
      </c>
      <c r="B11" s="46" t="s">
        <v>36</v>
      </c>
      <c r="C11" s="47">
        <v>350</v>
      </c>
      <c r="D11" s="47">
        <v>321</v>
      </c>
    </row>
    <row r="12" spans="1:12" ht="15.75" x14ac:dyDescent="0.25">
      <c r="A12" s="46" t="s">
        <v>4</v>
      </c>
      <c r="B12" s="46" t="s">
        <v>37</v>
      </c>
      <c r="C12" s="47">
        <v>199</v>
      </c>
      <c r="D12" s="47">
        <v>276</v>
      </c>
    </row>
    <row r="13" spans="1:12" ht="15.75" x14ac:dyDescent="0.25">
      <c r="A13" s="46" t="s">
        <v>2</v>
      </c>
      <c r="B13" s="46" t="s">
        <v>37</v>
      </c>
      <c r="C13" s="47">
        <v>400</v>
      </c>
      <c r="D13" s="47">
        <v>543</v>
      </c>
    </row>
    <row r="14" spans="1:12" ht="15.75" x14ac:dyDescent="0.25">
      <c r="A14" s="46" t="s">
        <v>2</v>
      </c>
      <c r="B14" s="46" t="s">
        <v>29</v>
      </c>
      <c r="C14" s="47">
        <v>200</v>
      </c>
      <c r="D14" s="47">
        <v>543</v>
      </c>
    </row>
    <row r="15" spans="1:12" ht="15.75" x14ac:dyDescent="0.25">
      <c r="A15" s="46" t="s">
        <v>2</v>
      </c>
      <c r="B15" s="46" t="s">
        <v>30</v>
      </c>
      <c r="C15" s="47">
        <v>600</v>
      </c>
      <c r="D15" s="47">
        <v>265</v>
      </c>
    </row>
    <row r="16" spans="1:12" ht="15.75" x14ac:dyDescent="0.25">
      <c r="A16" s="46" t="s">
        <v>2</v>
      </c>
      <c r="B16" s="46" t="s">
        <v>36</v>
      </c>
      <c r="C16" s="47">
        <v>420</v>
      </c>
      <c r="D16" s="47">
        <v>471</v>
      </c>
    </row>
    <row r="17" spans="3:4" x14ac:dyDescent="0.25">
      <c r="C17" s="17"/>
      <c r="D17" s="17"/>
    </row>
  </sheetData>
  <sortState ref="A3:D16">
    <sortCondition ref="A2"/>
  </sortState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zoomScale="120" zoomScaleNormal="120" workbookViewId="0">
      <selection activeCell="I10" sqref="I10"/>
    </sheetView>
  </sheetViews>
  <sheetFormatPr defaultColWidth="10" defaultRowHeight="15" x14ac:dyDescent="0.25"/>
  <cols>
    <col min="1" max="1" width="11" bestFit="1" customWidth="1"/>
    <col min="2" max="2" width="6.28515625" bestFit="1" customWidth="1"/>
    <col min="3" max="4" width="7.42578125" style="1" bestFit="1" customWidth="1"/>
    <col min="5" max="5" width="5.28515625" customWidth="1"/>
    <col min="6" max="6" width="14.28515625" customWidth="1"/>
    <col min="7" max="7" width="7.7109375" bestFit="1" customWidth="1"/>
    <col min="8" max="10" width="8" customWidth="1"/>
  </cols>
  <sheetData>
    <row r="1" spans="1:10" ht="21" x14ac:dyDescent="0.25">
      <c r="A1" s="69" t="s">
        <v>16</v>
      </c>
      <c r="B1" s="69"/>
      <c r="C1" s="69"/>
      <c r="D1" s="69"/>
      <c r="F1" s="54"/>
      <c r="G1" s="53" t="s">
        <v>40</v>
      </c>
      <c r="H1" s="70"/>
      <c r="I1" s="71"/>
    </row>
    <row r="2" spans="1:10" s="9" customFormat="1" ht="47.25" x14ac:dyDescent="0.25">
      <c r="A2" s="45" t="s">
        <v>0</v>
      </c>
      <c r="B2" s="45" t="s">
        <v>31</v>
      </c>
      <c r="C2" s="45" t="s">
        <v>32</v>
      </c>
      <c r="D2" s="45" t="s">
        <v>33</v>
      </c>
      <c r="E2" s="50"/>
      <c r="F2" s="45" t="s">
        <v>0</v>
      </c>
      <c r="G2" s="45" t="s">
        <v>31</v>
      </c>
      <c r="H2" s="45" t="s">
        <v>34</v>
      </c>
      <c r="I2" s="45" t="s">
        <v>35</v>
      </c>
      <c r="J2" s="45" t="s">
        <v>62</v>
      </c>
    </row>
    <row r="3" spans="1:10" ht="15.75" x14ac:dyDescent="0.25">
      <c r="A3" s="46" t="s">
        <v>3</v>
      </c>
      <c r="B3" s="46" t="s">
        <v>29</v>
      </c>
      <c r="C3" s="47">
        <v>340</v>
      </c>
      <c r="D3" s="47">
        <v>300</v>
      </c>
      <c r="E3" s="51"/>
      <c r="F3" s="46" t="s">
        <v>3</v>
      </c>
      <c r="G3" s="47" t="s">
        <v>29</v>
      </c>
      <c r="H3" s="49"/>
      <c r="I3" s="49"/>
      <c r="J3" s="4"/>
    </row>
    <row r="4" spans="1:10" ht="15.75" x14ac:dyDescent="0.25">
      <c r="A4" s="46" t="s">
        <v>3</v>
      </c>
      <c r="B4" s="46" t="s">
        <v>30</v>
      </c>
      <c r="C4" s="47">
        <v>890</v>
      </c>
      <c r="D4" s="47">
        <v>257</v>
      </c>
      <c r="E4" s="51"/>
      <c r="F4" s="46" t="s">
        <v>5</v>
      </c>
      <c r="G4" s="47" t="s">
        <v>30</v>
      </c>
      <c r="H4" s="49"/>
      <c r="I4" s="49"/>
      <c r="J4" s="4"/>
    </row>
    <row r="5" spans="1:10" ht="15.75" x14ac:dyDescent="0.25">
      <c r="A5" s="46" t="s">
        <v>3</v>
      </c>
      <c r="B5" s="46" t="s">
        <v>36</v>
      </c>
      <c r="C5" s="47">
        <v>350</v>
      </c>
      <c r="D5" s="47">
        <v>189</v>
      </c>
      <c r="E5" s="51"/>
      <c r="F5" s="46" t="s">
        <v>4</v>
      </c>
      <c r="G5" s="47" t="s">
        <v>36</v>
      </c>
      <c r="H5" s="49"/>
      <c r="I5" s="49"/>
      <c r="J5" s="4"/>
    </row>
    <row r="6" spans="1:10" ht="15.75" x14ac:dyDescent="0.25">
      <c r="A6" s="46" t="s">
        <v>3</v>
      </c>
      <c r="B6" s="46" t="s">
        <v>37</v>
      </c>
      <c r="C6" s="47">
        <v>230</v>
      </c>
      <c r="D6" s="47">
        <v>399</v>
      </c>
      <c r="E6" s="51"/>
      <c r="F6" s="46" t="s">
        <v>2</v>
      </c>
      <c r="G6" s="47" t="s">
        <v>37</v>
      </c>
      <c r="H6" s="49"/>
      <c r="I6" s="49"/>
      <c r="J6" s="4"/>
    </row>
    <row r="7" spans="1:10" ht="15.75" x14ac:dyDescent="0.25">
      <c r="A7" s="46" t="s">
        <v>5</v>
      </c>
      <c r="B7" s="46" t="s">
        <v>29</v>
      </c>
      <c r="C7" s="47">
        <v>340</v>
      </c>
      <c r="D7" s="47">
        <v>400</v>
      </c>
      <c r="E7" s="51"/>
      <c r="F7" s="51"/>
      <c r="G7" s="51"/>
      <c r="H7" s="51"/>
      <c r="I7" s="51"/>
    </row>
    <row r="8" spans="1:10" ht="15.75" x14ac:dyDescent="0.25">
      <c r="A8" s="46" t="s">
        <v>5</v>
      </c>
      <c r="B8" s="46" t="s">
        <v>30</v>
      </c>
      <c r="C8" s="47">
        <v>300</v>
      </c>
      <c r="D8" s="47">
        <v>431</v>
      </c>
      <c r="E8" s="51"/>
      <c r="F8" s="51"/>
      <c r="G8" s="51"/>
      <c r="H8" s="51"/>
      <c r="I8" s="51"/>
      <c r="J8" s="17"/>
    </row>
    <row r="9" spans="1:10" ht="15.75" x14ac:dyDescent="0.25">
      <c r="A9" s="46" t="s">
        <v>4</v>
      </c>
      <c r="B9" s="46" t="s">
        <v>29</v>
      </c>
      <c r="C9" s="47">
        <v>457</v>
      </c>
      <c r="D9" s="47">
        <v>423</v>
      </c>
      <c r="E9" s="51"/>
      <c r="F9" s="51"/>
      <c r="G9" s="51"/>
      <c r="H9" s="51"/>
      <c r="I9" s="51"/>
    </row>
    <row r="10" spans="1:10" ht="15.75" x14ac:dyDescent="0.25">
      <c r="A10" s="46" t="s">
        <v>4</v>
      </c>
      <c r="B10" s="46" t="s">
        <v>30</v>
      </c>
      <c r="C10" s="47">
        <v>290</v>
      </c>
      <c r="D10" s="47">
        <v>368</v>
      </c>
      <c r="E10" s="51"/>
      <c r="F10" s="51"/>
      <c r="G10" s="51"/>
      <c r="H10" s="51"/>
      <c r="I10" s="51"/>
    </row>
    <row r="11" spans="1:10" ht="15.75" x14ac:dyDescent="0.25">
      <c r="A11" s="46" t="s">
        <v>4</v>
      </c>
      <c r="B11" s="46" t="s">
        <v>36</v>
      </c>
      <c r="C11" s="47">
        <v>350</v>
      </c>
      <c r="D11" s="47">
        <v>321</v>
      </c>
      <c r="E11" s="51"/>
      <c r="F11" s="51"/>
      <c r="G11" s="51"/>
      <c r="H11" s="51"/>
      <c r="I11" s="51"/>
    </row>
    <row r="12" spans="1:10" ht="15.75" x14ac:dyDescent="0.25">
      <c r="A12" s="46" t="s">
        <v>4</v>
      </c>
      <c r="B12" s="46" t="s">
        <v>37</v>
      </c>
      <c r="C12" s="47">
        <v>199</v>
      </c>
      <c r="D12" s="47">
        <v>276</v>
      </c>
      <c r="E12" s="51"/>
      <c r="F12" s="51"/>
      <c r="G12" s="51"/>
      <c r="H12" s="51"/>
      <c r="I12" s="51"/>
    </row>
    <row r="13" spans="1:10" ht="15.75" x14ac:dyDescent="0.25">
      <c r="A13" s="46" t="s">
        <v>2</v>
      </c>
      <c r="B13" s="46" t="s">
        <v>37</v>
      </c>
      <c r="C13" s="47">
        <v>400</v>
      </c>
      <c r="D13" s="47">
        <v>543</v>
      </c>
      <c r="E13" s="51"/>
      <c r="F13" s="51"/>
      <c r="G13" s="51"/>
      <c r="H13" s="51"/>
      <c r="I13" s="51"/>
    </row>
    <row r="14" spans="1:10" ht="15.75" x14ac:dyDescent="0.25">
      <c r="A14" s="46" t="s">
        <v>2</v>
      </c>
      <c r="B14" s="46" t="s">
        <v>29</v>
      </c>
      <c r="C14" s="47">
        <v>200</v>
      </c>
      <c r="D14" s="47">
        <v>543</v>
      </c>
      <c r="E14" s="51"/>
      <c r="F14" s="51"/>
      <c r="G14" s="51"/>
      <c r="H14" s="51"/>
      <c r="I14" s="51"/>
    </row>
    <row r="15" spans="1:10" ht="15.75" x14ac:dyDescent="0.25">
      <c r="A15" s="46" t="s">
        <v>2</v>
      </c>
      <c r="B15" s="46" t="s">
        <v>30</v>
      </c>
      <c r="C15" s="47">
        <v>600</v>
      </c>
      <c r="D15" s="47">
        <v>265</v>
      </c>
      <c r="E15" s="51"/>
      <c r="F15" s="51"/>
      <c r="G15" s="51"/>
      <c r="H15" s="51"/>
      <c r="I15" s="51"/>
    </row>
    <row r="16" spans="1:10" ht="15.75" x14ac:dyDescent="0.25">
      <c r="A16" s="46" t="s">
        <v>2</v>
      </c>
      <c r="B16" s="46" t="s">
        <v>36</v>
      </c>
      <c r="C16" s="47">
        <v>420</v>
      </c>
      <c r="D16" s="47">
        <v>471</v>
      </c>
      <c r="E16" s="51"/>
      <c r="F16" s="51"/>
      <c r="G16" s="51"/>
      <c r="H16" s="51"/>
      <c r="I16" s="51"/>
    </row>
    <row r="17" spans="1:9" ht="15.75" x14ac:dyDescent="0.25">
      <c r="A17" s="51"/>
      <c r="B17" s="51"/>
      <c r="C17" s="52"/>
      <c r="D17" s="52"/>
      <c r="E17" s="51"/>
      <c r="F17" s="51"/>
      <c r="G17" s="51"/>
      <c r="H17" s="51"/>
      <c r="I17" s="51"/>
    </row>
  </sheetData>
  <mergeCells count="2">
    <mergeCell ref="A1:D1"/>
    <mergeCell ref="H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4">
    <tabColor rgb="FF7030A0"/>
  </sheetPr>
  <dimension ref="B1:J6"/>
  <sheetViews>
    <sheetView zoomScale="130" zoomScaleNormal="130" workbookViewId="0">
      <selection activeCell="E11" sqref="E11"/>
    </sheetView>
  </sheetViews>
  <sheetFormatPr defaultColWidth="10" defaultRowHeight="15" x14ac:dyDescent="0.25"/>
  <cols>
    <col min="1" max="1" width="7.28515625" bestFit="1" customWidth="1"/>
    <col min="2" max="6" width="11" customWidth="1"/>
    <col min="10" max="10" width="11.42578125" bestFit="1" customWidth="1"/>
  </cols>
  <sheetData>
    <row r="1" spans="2:10" s="18" customFormat="1" ht="15.75" x14ac:dyDescent="0.25">
      <c r="B1" s="73"/>
      <c r="C1" s="73"/>
      <c r="D1" s="72"/>
      <c r="E1" s="72"/>
      <c r="F1" s="55"/>
    </row>
    <row r="2" spans="2:10" s="9" customFormat="1" ht="15.75" x14ac:dyDescent="0.25">
      <c r="B2" s="49"/>
      <c r="C2" s="45" t="s">
        <v>13</v>
      </c>
      <c r="D2" s="45" t="s">
        <v>14</v>
      </c>
      <c r="E2" s="45" t="s">
        <v>15</v>
      </c>
      <c r="F2" s="45" t="s">
        <v>17</v>
      </c>
      <c r="J2" s="4" t="s">
        <v>42</v>
      </c>
    </row>
    <row r="3" spans="2:10" ht="15.75" x14ac:dyDescent="0.25">
      <c r="B3" s="46" t="s">
        <v>3</v>
      </c>
      <c r="C3" s="46"/>
      <c r="D3" s="46"/>
      <c r="E3" s="46"/>
      <c r="F3" s="46"/>
      <c r="J3" s="4" t="s">
        <v>43</v>
      </c>
    </row>
    <row r="4" spans="2:10" ht="15.75" x14ac:dyDescent="0.25">
      <c r="B4" s="46" t="s">
        <v>5</v>
      </c>
      <c r="C4" s="46"/>
      <c r="D4" s="46"/>
      <c r="E4" s="46"/>
      <c r="F4" s="46"/>
      <c r="J4" s="4" t="s">
        <v>44</v>
      </c>
    </row>
    <row r="5" spans="2:10" ht="15.75" x14ac:dyDescent="0.25">
      <c r="B5" s="46" t="s">
        <v>4</v>
      </c>
      <c r="C5" s="46"/>
      <c r="D5" s="46"/>
      <c r="E5" s="46"/>
      <c r="F5" s="46"/>
    </row>
    <row r="6" spans="2:10" ht="15.75" x14ac:dyDescent="0.25">
      <c r="B6" s="46" t="s">
        <v>2</v>
      </c>
      <c r="C6" s="46"/>
      <c r="D6" s="46"/>
      <c r="E6" s="46"/>
      <c r="F6" s="46"/>
    </row>
  </sheetData>
  <mergeCells count="2">
    <mergeCell ref="D1:E1"/>
    <mergeCell ref="B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7030A0"/>
  </sheetPr>
  <dimension ref="A1:J18"/>
  <sheetViews>
    <sheetView zoomScale="115" zoomScaleNormal="115" workbookViewId="0">
      <selection activeCell="L15" sqref="L15"/>
    </sheetView>
  </sheetViews>
  <sheetFormatPr defaultColWidth="10" defaultRowHeight="15" x14ac:dyDescent="0.25"/>
  <cols>
    <col min="1" max="1" width="11" bestFit="1" customWidth="1"/>
    <col min="2" max="2" width="11.42578125" bestFit="1" customWidth="1"/>
    <col min="3" max="3" width="10.140625" bestFit="1" customWidth="1"/>
    <col min="4" max="5" width="10.140625" style="1" bestFit="1" customWidth="1"/>
    <col min="6" max="9" width="3.7109375" customWidth="1"/>
  </cols>
  <sheetData>
    <row r="1" spans="1:10" s="18" customFormat="1" ht="23.25" x14ac:dyDescent="0.35">
      <c r="A1" s="74" t="s">
        <v>46</v>
      </c>
      <c r="B1" s="75"/>
      <c r="C1" s="75"/>
      <c r="D1" s="75"/>
      <c r="E1" s="76"/>
      <c r="J1" s="4" t="s">
        <v>3</v>
      </c>
    </row>
    <row r="2" spans="1:10" s="9" customFormat="1" ht="30" x14ac:dyDescent="0.25">
      <c r="A2" s="56" t="s">
        <v>0</v>
      </c>
      <c r="B2" s="56" t="s">
        <v>41</v>
      </c>
      <c r="C2" s="56" t="s">
        <v>13</v>
      </c>
      <c r="D2" s="56" t="s">
        <v>14</v>
      </c>
      <c r="E2" s="56" t="s">
        <v>15</v>
      </c>
      <c r="J2" s="4" t="s">
        <v>5</v>
      </c>
    </row>
    <row r="3" spans="1:10" x14ac:dyDescent="0.25">
      <c r="A3" s="4" t="s">
        <v>3</v>
      </c>
      <c r="B3" s="4" t="s">
        <v>42</v>
      </c>
      <c r="C3" s="26">
        <v>455</v>
      </c>
      <c r="D3" s="26">
        <v>465</v>
      </c>
      <c r="E3" s="26">
        <v>480</v>
      </c>
      <c r="J3" s="4" t="s">
        <v>4</v>
      </c>
    </row>
    <row r="4" spans="1:10" x14ac:dyDescent="0.25">
      <c r="A4" s="4" t="s">
        <v>5</v>
      </c>
      <c r="B4" s="4" t="s">
        <v>43</v>
      </c>
      <c r="C4" s="26">
        <v>690</v>
      </c>
      <c r="D4" s="26">
        <v>700</v>
      </c>
      <c r="E4" s="26">
        <v>715</v>
      </c>
      <c r="J4" s="4" t="s">
        <v>2</v>
      </c>
    </row>
    <row r="5" spans="1:10" x14ac:dyDescent="0.25">
      <c r="A5" s="4" t="s">
        <v>4</v>
      </c>
      <c r="B5" s="4" t="s">
        <v>44</v>
      </c>
      <c r="C5" s="26">
        <v>790</v>
      </c>
      <c r="D5" s="26">
        <v>800</v>
      </c>
      <c r="E5" s="26">
        <v>815</v>
      </c>
    </row>
    <row r="6" spans="1:10" x14ac:dyDescent="0.25">
      <c r="A6" s="4" t="s">
        <v>2</v>
      </c>
      <c r="B6" s="4" t="s">
        <v>42</v>
      </c>
      <c r="C6" s="26">
        <v>1500</v>
      </c>
      <c r="D6" s="26">
        <v>1510</v>
      </c>
      <c r="E6" s="26">
        <v>1525</v>
      </c>
    </row>
    <row r="7" spans="1:10" x14ac:dyDescent="0.25">
      <c r="A7" s="4" t="s">
        <v>3</v>
      </c>
      <c r="B7" s="4" t="s">
        <v>43</v>
      </c>
      <c r="C7" s="26">
        <v>547</v>
      </c>
      <c r="D7" s="26">
        <v>557</v>
      </c>
      <c r="E7" s="26">
        <v>572</v>
      </c>
    </row>
    <row r="8" spans="1:10" x14ac:dyDescent="0.25">
      <c r="A8" s="4" t="s">
        <v>5</v>
      </c>
      <c r="B8" s="4" t="s">
        <v>44</v>
      </c>
      <c r="C8" s="26">
        <v>685</v>
      </c>
      <c r="D8" s="26">
        <v>695</v>
      </c>
      <c r="E8" s="26">
        <v>710</v>
      </c>
    </row>
    <row r="9" spans="1:10" x14ac:dyDescent="0.25">
      <c r="A9" s="4" t="s">
        <v>4</v>
      </c>
      <c r="B9" s="4" t="s">
        <v>43</v>
      </c>
      <c r="C9" s="26">
        <v>1000</v>
      </c>
      <c r="D9" s="26">
        <v>1010</v>
      </c>
      <c r="E9" s="26">
        <v>1025</v>
      </c>
    </row>
    <row r="10" spans="1:10" x14ac:dyDescent="0.25">
      <c r="A10" s="4" t="s">
        <v>2</v>
      </c>
      <c r="B10" s="4" t="s">
        <v>44</v>
      </c>
      <c r="C10" s="26">
        <v>2100</v>
      </c>
      <c r="D10" s="26">
        <v>2110</v>
      </c>
      <c r="E10" s="26">
        <v>2125</v>
      </c>
    </row>
    <row r="11" spans="1:10" x14ac:dyDescent="0.25">
      <c r="A11" s="4" t="s">
        <v>3</v>
      </c>
      <c r="B11" s="4" t="s">
        <v>42</v>
      </c>
      <c r="C11" s="26">
        <v>499</v>
      </c>
      <c r="D11" s="26">
        <v>509</v>
      </c>
      <c r="E11" s="26">
        <v>524</v>
      </c>
    </row>
    <row r="12" spans="1:10" x14ac:dyDescent="0.25">
      <c r="A12" s="4" t="s">
        <v>5</v>
      </c>
      <c r="B12" s="4" t="s">
        <v>43</v>
      </c>
      <c r="C12" s="26">
        <v>432</v>
      </c>
      <c r="D12" s="26">
        <v>442</v>
      </c>
      <c r="E12" s="26">
        <v>457</v>
      </c>
    </row>
    <row r="13" spans="1:10" x14ac:dyDescent="0.25">
      <c r="A13" s="4" t="s">
        <v>4</v>
      </c>
      <c r="B13" s="4" t="s">
        <v>42</v>
      </c>
      <c r="C13" s="26">
        <v>454</v>
      </c>
      <c r="D13" s="26">
        <v>464</v>
      </c>
      <c r="E13" s="26">
        <v>479</v>
      </c>
    </row>
    <row r="14" spans="1:10" x14ac:dyDescent="0.25">
      <c r="A14" s="4" t="s">
        <v>2</v>
      </c>
      <c r="B14" s="4" t="s">
        <v>43</v>
      </c>
      <c r="C14" s="26">
        <v>900</v>
      </c>
      <c r="D14" s="26">
        <v>910</v>
      </c>
      <c r="E14" s="26">
        <v>925</v>
      </c>
    </row>
    <row r="15" spans="1:10" x14ac:dyDescent="0.25">
      <c r="A15" s="4" t="s">
        <v>3</v>
      </c>
      <c r="B15" s="4" t="s">
        <v>44</v>
      </c>
      <c r="C15" s="26">
        <v>780</v>
      </c>
      <c r="D15" s="26">
        <v>790</v>
      </c>
      <c r="E15" s="26">
        <v>805</v>
      </c>
    </row>
    <row r="16" spans="1:10" x14ac:dyDescent="0.25">
      <c r="A16" s="4" t="s">
        <v>5</v>
      </c>
      <c r="B16" s="4" t="s">
        <v>42</v>
      </c>
      <c r="C16" s="26">
        <v>1150</v>
      </c>
      <c r="D16" s="26">
        <v>1160</v>
      </c>
      <c r="E16" s="26">
        <v>1175</v>
      </c>
    </row>
    <row r="17" spans="1:5" x14ac:dyDescent="0.25">
      <c r="A17" s="4" t="s">
        <v>4</v>
      </c>
      <c r="B17" s="4" t="s">
        <v>43</v>
      </c>
      <c r="C17" s="26">
        <v>679</v>
      </c>
      <c r="D17" s="26">
        <v>689</v>
      </c>
      <c r="E17" s="26">
        <v>704</v>
      </c>
    </row>
    <row r="18" spans="1:5" x14ac:dyDescent="0.25">
      <c r="A18" s="4" t="s">
        <v>2</v>
      </c>
      <c r="B18" s="4" t="s">
        <v>44</v>
      </c>
      <c r="C18" s="26">
        <v>1500</v>
      </c>
      <c r="D18" s="26">
        <v>1510</v>
      </c>
      <c r="E18" s="26">
        <v>1525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>
    <tabColor rgb="FF0070C0"/>
  </sheetPr>
  <dimension ref="A1:J16"/>
  <sheetViews>
    <sheetView showGridLines="0" zoomScale="120" zoomScaleNormal="120" workbookViewId="0">
      <selection activeCell="I13" sqref="I13"/>
    </sheetView>
  </sheetViews>
  <sheetFormatPr defaultColWidth="10" defaultRowHeight="15" x14ac:dyDescent="0.25"/>
  <cols>
    <col min="1" max="1" width="17.42578125" bestFit="1" customWidth="1"/>
    <col min="2" max="2" width="11.85546875" customWidth="1"/>
    <col min="3" max="3" width="11.140625" bestFit="1" customWidth="1"/>
    <col min="4" max="4" width="11.140625" style="1" bestFit="1" customWidth="1"/>
    <col min="5" max="5" width="10.5703125" style="1" bestFit="1" customWidth="1"/>
    <col min="6" max="6" width="11.5703125" bestFit="1" customWidth="1"/>
    <col min="7" max="9" width="6.85546875" customWidth="1"/>
    <col min="10" max="10" width="6.140625" customWidth="1"/>
  </cols>
  <sheetData>
    <row r="1" spans="1:10" ht="23.25" x14ac:dyDescent="0.25">
      <c r="A1" s="77" t="s">
        <v>19</v>
      </c>
      <c r="B1" s="78"/>
      <c r="C1" s="78"/>
      <c r="D1" s="79"/>
      <c r="E1" s="4"/>
      <c r="F1" s="4"/>
      <c r="I1" s="57"/>
      <c r="J1" s="27">
        <v>0.05</v>
      </c>
    </row>
    <row r="2" spans="1:10" s="9" customFormat="1" ht="31.5" x14ac:dyDescent="0.25">
      <c r="A2" s="45" t="s">
        <v>20</v>
      </c>
      <c r="B2" s="45" t="s">
        <v>0</v>
      </c>
      <c r="C2" s="45" t="s">
        <v>18</v>
      </c>
      <c r="D2" s="45" t="s">
        <v>56</v>
      </c>
      <c r="E2" s="82"/>
      <c r="F2" s="83"/>
      <c r="I2" s="58"/>
      <c r="J2" s="27">
        <v>7.0000000000000007E-2</v>
      </c>
    </row>
    <row r="3" spans="1:10" ht="15.75" x14ac:dyDescent="0.25">
      <c r="A3" s="46" t="s">
        <v>21</v>
      </c>
      <c r="B3" s="46" t="s">
        <v>3</v>
      </c>
      <c r="C3" s="59">
        <v>1000</v>
      </c>
      <c r="D3" s="59"/>
      <c r="E3" s="84"/>
      <c r="F3" s="85"/>
      <c r="I3" s="57"/>
      <c r="J3" s="27">
        <v>0.1</v>
      </c>
    </row>
    <row r="4" spans="1:10" ht="15.75" x14ac:dyDescent="0.25">
      <c r="A4" s="46" t="s">
        <v>22</v>
      </c>
      <c r="B4" s="46" t="s">
        <v>5</v>
      </c>
      <c r="C4" s="59">
        <v>1500</v>
      </c>
      <c r="D4" s="59"/>
      <c r="E4" s="84"/>
      <c r="F4" s="85"/>
      <c r="I4" s="57"/>
      <c r="J4" s="27">
        <v>0.12</v>
      </c>
    </row>
    <row r="5" spans="1:10" ht="15.75" x14ac:dyDescent="0.25">
      <c r="A5" s="46" t="s">
        <v>23</v>
      </c>
      <c r="B5" s="46" t="s">
        <v>4</v>
      </c>
      <c r="C5" s="59">
        <v>900</v>
      </c>
      <c r="D5" s="59"/>
      <c r="E5" s="84"/>
      <c r="F5" s="85"/>
    </row>
    <row r="6" spans="1:10" ht="15.75" x14ac:dyDescent="0.25">
      <c r="A6" s="46" t="s">
        <v>24</v>
      </c>
      <c r="B6" s="46" t="s">
        <v>2</v>
      </c>
      <c r="C6" s="59">
        <v>1200</v>
      </c>
      <c r="D6" s="59"/>
      <c r="E6" s="84"/>
      <c r="F6" s="85"/>
    </row>
    <row r="7" spans="1:10" ht="15.75" x14ac:dyDescent="0.25">
      <c r="A7" s="60" t="s">
        <v>17</v>
      </c>
      <c r="B7" s="60" t="s">
        <v>17</v>
      </c>
      <c r="C7" s="59">
        <f>SUM(C3:C6)</f>
        <v>4600</v>
      </c>
      <c r="D7" s="59"/>
      <c r="E7" s="86"/>
      <c r="F7" s="87"/>
    </row>
    <row r="8" spans="1:10" ht="15.75" x14ac:dyDescent="0.25">
      <c r="A8" s="61"/>
      <c r="B8" s="61"/>
      <c r="C8" s="51"/>
      <c r="D8" s="62"/>
    </row>
    <row r="9" spans="1:10" ht="15.75" x14ac:dyDescent="0.25">
      <c r="A9" s="63" t="s">
        <v>63</v>
      </c>
      <c r="B9" s="47"/>
      <c r="C9" s="46"/>
      <c r="D9" s="62"/>
    </row>
    <row r="10" spans="1:10" ht="15.75" x14ac:dyDescent="0.25">
      <c r="A10" s="64"/>
      <c r="B10" s="64" t="s">
        <v>49</v>
      </c>
      <c r="C10" s="64" t="s">
        <v>50</v>
      </c>
      <c r="D10" s="62"/>
    </row>
    <row r="11" spans="1:10" ht="15.75" x14ac:dyDescent="0.25">
      <c r="A11" s="64" t="s">
        <v>51</v>
      </c>
      <c r="B11" s="47"/>
      <c r="C11" s="47"/>
      <c r="D11" s="62"/>
    </row>
    <row r="12" spans="1:10" ht="15.75" x14ac:dyDescent="0.25">
      <c r="A12" s="64" t="s">
        <v>48</v>
      </c>
      <c r="B12" s="47"/>
      <c r="C12" s="47"/>
      <c r="D12" s="62"/>
    </row>
    <row r="13" spans="1:10" x14ac:dyDescent="0.25">
      <c r="A13" s="1"/>
      <c r="B13" s="1"/>
    </row>
    <row r="14" spans="1:10" x14ac:dyDescent="0.25">
      <c r="A14" s="80" t="s">
        <v>57</v>
      </c>
      <c r="B14" s="81"/>
    </row>
    <row r="15" spans="1:10" x14ac:dyDescent="0.25">
      <c r="A15" s="80" t="s">
        <v>58</v>
      </c>
      <c r="B15" s="81"/>
    </row>
    <row r="16" spans="1:10" x14ac:dyDescent="0.25">
      <c r="A16" s="20"/>
      <c r="B16" s="20"/>
    </row>
  </sheetData>
  <mergeCells count="4">
    <mergeCell ref="A1:D1"/>
    <mergeCell ref="A14:B14"/>
    <mergeCell ref="A15:B15"/>
    <mergeCell ref="E2:F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18"/>
  <sheetViews>
    <sheetView zoomScaleNormal="100" workbookViewId="0">
      <selection activeCell="L14" sqref="L14"/>
    </sheetView>
  </sheetViews>
  <sheetFormatPr defaultRowHeight="15" x14ac:dyDescent="0.25"/>
  <cols>
    <col min="1" max="1" width="12.85546875" bestFit="1" customWidth="1"/>
    <col min="2" max="2" width="11.42578125" bestFit="1" customWidth="1"/>
    <col min="6" max="6" width="9.140625" customWidth="1"/>
  </cols>
  <sheetData>
    <row r="1" spans="1:6" s="9" customFormat="1" ht="23.25" customHeight="1" x14ac:dyDescent="0.2">
      <c r="F1" s="33" t="s">
        <v>64</v>
      </c>
    </row>
    <row r="2" spans="1:6" x14ac:dyDescent="0.25">
      <c r="F2" s="33" t="s">
        <v>66</v>
      </c>
    </row>
    <row r="3" spans="1:6" s="12" customFormat="1" ht="26.25" customHeight="1" thickBot="1" x14ac:dyDescent="0.25">
      <c r="B3" s="35"/>
      <c r="F3" s="33" t="s">
        <v>65</v>
      </c>
    </row>
    <row r="4" spans="1:6" ht="18.75" customHeight="1" x14ac:dyDescent="0.3">
      <c r="A4" s="30"/>
      <c r="B4" s="36" t="s">
        <v>47</v>
      </c>
      <c r="C4" s="88"/>
    </row>
    <row r="5" spans="1:6" ht="18.75" customHeight="1" x14ac:dyDescent="0.3">
      <c r="A5" s="31" t="s">
        <v>52</v>
      </c>
      <c r="B5" s="37">
        <v>100</v>
      </c>
      <c r="C5" s="89"/>
    </row>
    <row r="6" spans="1:6" ht="18.75" customHeight="1" x14ac:dyDescent="0.3">
      <c r="A6" s="30" t="s">
        <v>53</v>
      </c>
      <c r="B6" s="37">
        <v>54</v>
      </c>
      <c r="C6" s="89"/>
    </row>
    <row r="7" spans="1:6" ht="18.75" customHeight="1" thickBot="1" x14ac:dyDescent="0.35">
      <c r="A7" s="32" t="s">
        <v>54</v>
      </c>
      <c r="B7" s="38">
        <f>B6/B5</f>
        <v>0.54</v>
      </c>
      <c r="C7" s="90"/>
    </row>
    <row r="8" spans="1:6" ht="15" customHeight="1" x14ac:dyDescent="0.25"/>
    <row r="9" spans="1:6" ht="15" customHeight="1" x14ac:dyDescent="0.25"/>
    <row r="10" spans="1:6" ht="15" customHeight="1" x14ac:dyDescent="0.25"/>
    <row r="11" spans="1:6" ht="15" customHeight="1" x14ac:dyDescent="0.25"/>
    <row r="14" spans="1:6" x14ac:dyDescent="0.25">
      <c r="A14" s="33"/>
    </row>
    <row r="15" spans="1:6" x14ac:dyDescent="0.25">
      <c r="A15" s="33"/>
    </row>
    <row r="18" spans="5:5" x14ac:dyDescent="0.25">
      <c r="E18" s="34"/>
    </row>
  </sheetData>
  <mergeCells count="1">
    <mergeCell ref="C4:C7"/>
  </mergeCells>
  <conditionalFormatting sqref="B3">
    <cfRule type="cellIs" dxfId="6" priority="23" operator="equal">
      <formula>$A$15</formula>
    </cfRule>
    <cfRule type="cellIs" dxfId="5" priority="24" operator="equal">
      <formula>$A$14</formula>
    </cfRule>
    <cfRule type="cellIs" dxfId="4" priority="25" operator="equal">
      <formula>$F$2</formula>
    </cfRule>
  </conditionalFormatting>
  <dataValidations count="1">
    <dataValidation type="whole" operator="lessThanOrEqual" allowBlank="1" showInputMessage="1" showErrorMessage="1" errorTitle="Meta" error="Capacidade máxima de produção é de: &lt;= 1000." sqref="B5" xr:uid="{00000000-0002-0000-0800-000000000000}">
      <formula1>1000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I13"/>
  <sheetViews>
    <sheetView zoomScale="150" zoomScaleNormal="150" workbookViewId="0">
      <selection activeCell="L8" sqref="L8"/>
    </sheetView>
  </sheetViews>
  <sheetFormatPr defaultRowHeight="15" x14ac:dyDescent="0.25"/>
  <cols>
    <col min="2" max="4" width="9.140625" customWidth="1"/>
    <col min="5" max="5" width="7.42578125" customWidth="1"/>
    <col min="6" max="9" width="9.140625" customWidth="1"/>
  </cols>
  <sheetData>
    <row r="1" spans="2:9" x14ac:dyDescent="0.25">
      <c r="B1" s="4">
        <v>1</v>
      </c>
      <c r="C1" s="4" t="s">
        <v>4</v>
      </c>
      <c r="D1" s="4"/>
      <c r="G1" s="39"/>
      <c r="H1" t="s">
        <v>4</v>
      </c>
      <c r="I1">
        <v>765</v>
      </c>
    </row>
    <row r="2" spans="2:9" x14ac:dyDescent="0.25">
      <c r="B2" s="4">
        <v>2</v>
      </c>
      <c r="C2" s="4" t="s">
        <v>2</v>
      </c>
      <c r="D2" s="4"/>
      <c r="G2" s="39"/>
      <c r="H2" t="s">
        <v>2</v>
      </c>
      <c r="I2">
        <v>1000</v>
      </c>
    </row>
    <row r="3" spans="2:9" x14ac:dyDescent="0.25">
      <c r="B3" s="4">
        <v>3</v>
      </c>
      <c r="C3" s="4" t="s">
        <v>5</v>
      </c>
      <c r="D3" s="4"/>
      <c r="G3" s="39"/>
      <c r="H3" t="s">
        <v>5</v>
      </c>
      <c r="I3">
        <v>456</v>
      </c>
    </row>
    <row r="4" spans="2:9" x14ac:dyDescent="0.25">
      <c r="B4" s="4">
        <v>4</v>
      </c>
      <c r="C4" s="4" t="s">
        <v>3</v>
      </c>
      <c r="D4" s="4"/>
      <c r="G4" s="39"/>
      <c r="H4" t="s">
        <v>3</v>
      </c>
      <c r="I4">
        <v>324</v>
      </c>
    </row>
    <row r="5" spans="2:9" x14ac:dyDescent="0.25">
      <c r="H5" t="s">
        <v>4</v>
      </c>
      <c r="I5">
        <v>346</v>
      </c>
    </row>
    <row r="6" spans="2:9" x14ac:dyDescent="0.25">
      <c r="B6" s="91"/>
      <c r="C6" s="92"/>
      <c r="D6" s="4"/>
      <c r="E6" s="4"/>
      <c r="H6" t="s">
        <v>5</v>
      </c>
      <c r="I6">
        <v>134</v>
      </c>
    </row>
    <row r="7" spans="2:9" x14ac:dyDescent="0.25">
      <c r="B7" s="4"/>
      <c r="C7" s="4"/>
      <c r="D7" s="4"/>
      <c r="E7" s="4"/>
      <c r="H7" t="s">
        <v>3</v>
      </c>
      <c r="I7">
        <v>432</v>
      </c>
    </row>
    <row r="8" spans="2:9" x14ac:dyDescent="0.25">
      <c r="B8" s="2" t="s">
        <v>4</v>
      </c>
      <c r="C8" s="2" t="s">
        <v>2</v>
      </c>
      <c r="D8" s="2" t="s">
        <v>5</v>
      </c>
      <c r="E8" s="2" t="s">
        <v>3</v>
      </c>
      <c r="H8" t="s">
        <v>4</v>
      </c>
      <c r="I8">
        <v>354</v>
      </c>
    </row>
    <row r="9" spans="2:9" x14ac:dyDescent="0.25">
      <c r="B9" s="93"/>
      <c r="C9" s="94"/>
      <c r="D9" s="94"/>
      <c r="E9" s="95"/>
      <c r="H9" t="s">
        <v>4</v>
      </c>
      <c r="I9">
        <v>900</v>
      </c>
    </row>
    <row r="10" spans="2:9" x14ac:dyDescent="0.25">
      <c r="B10" s="96"/>
      <c r="C10" s="97"/>
      <c r="D10" s="97"/>
      <c r="E10" s="98"/>
      <c r="H10" t="s">
        <v>2</v>
      </c>
      <c r="I10">
        <v>598</v>
      </c>
    </row>
    <row r="11" spans="2:9" x14ac:dyDescent="0.25">
      <c r="B11" s="99"/>
      <c r="C11" s="100"/>
      <c r="D11" s="100"/>
      <c r="E11" s="101"/>
      <c r="H11" t="s">
        <v>5</v>
      </c>
      <c r="I11">
        <v>234</v>
      </c>
    </row>
    <row r="12" spans="2:9" x14ac:dyDescent="0.25">
      <c r="H12" t="s">
        <v>3</v>
      </c>
      <c r="I12">
        <v>321</v>
      </c>
    </row>
    <row r="13" spans="2:9" x14ac:dyDescent="0.25">
      <c r="H13" s="40" t="s">
        <v>55</v>
      </c>
    </row>
  </sheetData>
  <mergeCells count="2">
    <mergeCell ref="B6:C6"/>
    <mergeCell ref="B9:E11"/>
  </mergeCells>
  <conditionalFormatting sqref="D1:D4">
    <cfRule type="cellIs" dxfId="3" priority="2" operator="equal">
      <formula>0</formula>
    </cfRule>
  </conditionalFormatting>
  <conditionalFormatting sqref="G1:G4">
    <cfRule type="expression" dxfId="2" priority="26">
      <formula>$I$1&gt;=100</formula>
    </cfRule>
    <cfRule type="expression" dxfId="1" priority="27">
      <formula>$I$1&gt;=400</formula>
    </cfRule>
    <cfRule type="expression" dxfId="0" priority="28">
      <formula>$I$1&gt;1000</formula>
    </cfRule>
  </conditionalFormatting>
  <dataValidations count="1">
    <dataValidation type="list" allowBlank="1" showInputMessage="1" showErrorMessage="1" sqref="B1:B4" xr:uid="{00000000-0002-0000-0900-000000000000}">
      <formula1>$F$1:$F$11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36"/>
  <sheetViews>
    <sheetView zoomScale="90" zoomScaleNormal="90" workbookViewId="0">
      <selection activeCell="I10" sqref="I10"/>
    </sheetView>
  </sheetViews>
  <sheetFormatPr defaultColWidth="10" defaultRowHeight="15" x14ac:dyDescent="0.25"/>
  <cols>
    <col min="1" max="1" width="12.42578125" bestFit="1" customWidth="1"/>
    <col min="2" max="2" width="11" customWidth="1"/>
    <col min="3" max="3" width="7" bestFit="1" customWidth="1"/>
    <col min="4" max="5" width="7" style="1" bestFit="1" customWidth="1"/>
    <col min="6" max="6" width="7.28515625" bestFit="1" customWidth="1"/>
    <col min="7" max="10" width="8.85546875" customWidth="1"/>
    <col min="11" max="14" width="6" customWidth="1"/>
    <col min="15" max="15" width="11.7109375" bestFit="1" customWidth="1"/>
  </cols>
  <sheetData>
    <row r="1" spans="1:15" s="18" customFormat="1" ht="23.25" x14ac:dyDescent="0.35">
      <c r="A1" s="104" t="s">
        <v>16</v>
      </c>
      <c r="B1" s="104"/>
      <c r="C1" s="104"/>
      <c r="D1" s="104"/>
      <c r="E1" s="104"/>
      <c r="G1" s="41"/>
      <c r="H1" s="102"/>
      <c r="I1" s="103"/>
      <c r="J1" s="41"/>
      <c r="M1"/>
      <c r="N1"/>
      <c r="O1" s="4" t="s">
        <v>42</v>
      </c>
    </row>
    <row r="2" spans="1:15" s="9" customFormat="1" ht="30" x14ac:dyDescent="0.25">
      <c r="A2" s="8" t="s">
        <v>0</v>
      </c>
      <c r="B2" s="8" t="s">
        <v>41</v>
      </c>
      <c r="C2" s="8" t="s">
        <v>13</v>
      </c>
      <c r="D2" s="8" t="s">
        <v>14</v>
      </c>
      <c r="E2" s="8" t="s">
        <v>15</v>
      </c>
      <c r="G2" s="21"/>
      <c r="H2" s="8" t="s">
        <v>13</v>
      </c>
      <c r="I2" s="8" t="s">
        <v>14</v>
      </c>
      <c r="J2" s="8" t="s">
        <v>15</v>
      </c>
      <c r="K2" s="22"/>
      <c r="O2" s="4" t="s">
        <v>43</v>
      </c>
    </row>
    <row r="3" spans="1:15" x14ac:dyDescent="0.25">
      <c r="A3" s="4" t="s">
        <v>3</v>
      </c>
      <c r="B3" s="4" t="s">
        <v>42</v>
      </c>
      <c r="C3" s="6">
        <v>2000</v>
      </c>
      <c r="D3" s="6">
        <v>350</v>
      </c>
      <c r="E3" s="6">
        <v>200</v>
      </c>
      <c r="G3" s="4" t="s">
        <v>3</v>
      </c>
      <c r="H3" s="4"/>
      <c r="I3" s="4"/>
      <c r="J3" s="4"/>
      <c r="K3" s="23"/>
      <c r="O3" s="4" t="s">
        <v>44</v>
      </c>
    </row>
    <row r="4" spans="1:15" x14ac:dyDescent="0.25">
      <c r="A4" s="4" t="s">
        <v>5</v>
      </c>
      <c r="B4" s="4" t="s">
        <v>43</v>
      </c>
      <c r="C4" s="6">
        <v>320</v>
      </c>
      <c r="D4" s="6">
        <v>543</v>
      </c>
      <c r="E4" s="6">
        <v>288</v>
      </c>
      <c r="G4" s="4" t="s">
        <v>5</v>
      </c>
      <c r="H4" s="4"/>
      <c r="I4" s="4"/>
      <c r="J4" s="4"/>
      <c r="K4" s="23"/>
    </row>
    <row r="5" spans="1:15" x14ac:dyDescent="0.25">
      <c r="A5" s="4" t="s">
        <v>4</v>
      </c>
      <c r="B5" s="4" t="s">
        <v>44</v>
      </c>
      <c r="C5" s="6">
        <v>400</v>
      </c>
      <c r="D5" s="6">
        <v>350</v>
      </c>
      <c r="E5" s="6">
        <v>380</v>
      </c>
      <c r="G5" s="4" t="s">
        <v>4</v>
      </c>
      <c r="H5" s="4"/>
      <c r="I5" s="4"/>
      <c r="J5" s="4"/>
      <c r="K5" s="23"/>
    </row>
    <row r="6" spans="1:15" x14ac:dyDescent="0.25">
      <c r="A6" s="4" t="s">
        <v>2</v>
      </c>
      <c r="B6" s="4" t="s">
        <v>42</v>
      </c>
      <c r="C6" s="6">
        <v>290</v>
      </c>
      <c r="D6" s="6">
        <v>400</v>
      </c>
      <c r="E6" s="6">
        <v>370</v>
      </c>
      <c r="G6" s="4" t="s">
        <v>2</v>
      </c>
      <c r="H6" s="4"/>
      <c r="I6" s="4"/>
      <c r="J6" s="4"/>
      <c r="K6" s="23"/>
    </row>
    <row r="7" spans="1:15" x14ac:dyDescent="0.25">
      <c r="A7" s="4" t="s">
        <v>3</v>
      </c>
      <c r="B7" s="4" t="s">
        <v>43</v>
      </c>
      <c r="C7" s="6">
        <v>432</v>
      </c>
      <c r="D7" s="6">
        <v>346</v>
      </c>
      <c r="E7" s="6">
        <v>267</v>
      </c>
    </row>
    <row r="8" spans="1:15" x14ac:dyDescent="0.25">
      <c r="A8" s="4" t="s">
        <v>5</v>
      </c>
      <c r="B8" s="4" t="s">
        <v>44</v>
      </c>
      <c r="C8" s="6">
        <v>324</v>
      </c>
      <c r="D8" s="6">
        <v>657</v>
      </c>
      <c r="E8" s="6">
        <v>267</v>
      </c>
    </row>
    <row r="9" spans="1:15" x14ac:dyDescent="0.25">
      <c r="A9" s="4" t="s">
        <v>4</v>
      </c>
      <c r="B9" s="4" t="s">
        <v>43</v>
      </c>
      <c r="C9" s="6">
        <v>412</v>
      </c>
      <c r="D9" s="6">
        <v>367</v>
      </c>
      <c r="E9" s="6">
        <v>399</v>
      </c>
    </row>
    <row r="10" spans="1:15" x14ac:dyDescent="0.25">
      <c r="A10" s="4" t="s">
        <v>2</v>
      </c>
      <c r="B10" s="4" t="s">
        <v>44</v>
      </c>
      <c r="C10" s="6">
        <v>288</v>
      </c>
      <c r="D10" s="6">
        <v>347</v>
      </c>
      <c r="E10" s="6">
        <v>490</v>
      </c>
    </row>
    <row r="11" spans="1:15" x14ac:dyDescent="0.25">
      <c r="A11" s="4" t="s">
        <v>3</v>
      </c>
      <c r="B11" s="4" t="s">
        <v>42</v>
      </c>
      <c r="C11" s="6">
        <v>345</v>
      </c>
      <c r="D11" s="6">
        <v>350</v>
      </c>
      <c r="E11" s="6">
        <v>276</v>
      </c>
    </row>
    <row r="12" spans="1:15" x14ac:dyDescent="0.25">
      <c r="A12" s="4" t="s">
        <v>5</v>
      </c>
      <c r="B12" s="4" t="s">
        <v>43</v>
      </c>
      <c r="C12" s="6">
        <v>432</v>
      </c>
      <c r="D12" s="6">
        <v>431</v>
      </c>
      <c r="E12" s="6">
        <v>321</v>
      </c>
    </row>
    <row r="13" spans="1:15" x14ac:dyDescent="0.25">
      <c r="A13" s="4" t="s">
        <v>4</v>
      </c>
      <c r="B13" s="4" t="s">
        <v>42</v>
      </c>
      <c r="C13" s="6">
        <v>454</v>
      </c>
      <c r="D13" s="6">
        <v>389</v>
      </c>
      <c r="E13" s="6">
        <v>266</v>
      </c>
    </row>
    <row r="14" spans="1:15" x14ac:dyDescent="0.25">
      <c r="A14" s="4" t="s">
        <v>2</v>
      </c>
      <c r="B14" s="4" t="s">
        <v>43</v>
      </c>
      <c r="C14" s="6">
        <v>265</v>
      </c>
      <c r="D14" s="6">
        <v>543</v>
      </c>
      <c r="E14" s="6">
        <v>312</v>
      </c>
    </row>
    <row r="15" spans="1:15" x14ac:dyDescent="0.25">
      <c r="A15" s="4" t="s">
        <v>3</v>
      </c>
      <c r="B15" s="4" t="s">
        <v>44</v>
      </c>
      <c r="C15" s="6">
        <v>300</v>
      </c>
      <c r="D15" s="6">
        <v>350</v>
      </c>
      <c r="E15" s="6">
        <v>222</v>
      </c>
    </row>
    <row r="16" spans="1:15" x14ac:dyDescent="0.25">
      <c r="A16" s="4" t="s">
        <v>5</v>
      </c>
      <c r="B16" s="4" t="s">
        <v>42</v>
      </c>
      <c r="C16" s="6">
        <v>236</v>
      </c>
      <c r="D16" s="6">
        <v>611</v>
      </c>
      <c r="E16" s="6">
        <v>280</v>
      </c>
    </row>
    <row r="17" spans="1:5" x14ac:dyDescent="0.25">
      <c r="A17" s="4" t="s">
        <v>4</v>
      </c>
      <c r="B17" s="4" t="s">
        <v>43</v>
      </c>
      <c r="C17" s="6">
        <v>465</v>
      </c>
      <c r="D17" s="6">
        <v>353</v>
      </c>
      <c r="E17" s="6">
        <v>255</v>
      </c>
    </row>
    <row r="18" spans="1:5" x14ac:dyDescent="0.25">
      <c r="A18" s="4" t="s">
        <v>2</v>
      </c>
      <c r="B18" s="4" t="s">
        <v>44</v>
      </c>
      <c r="C18" s="6">
        <v>233</v>
      </c>
      <c r="D18" s="6">
        <v>512</v>
      </c>
      <c r="E18" s="6">
        <v>378</v>
      </c>
    </row>
    <row r="36" spans="1:1" x14ac:dyDescent="0.25">
      <c r="A36" t="s">
        <v>45</v>
      </c>
    </row>
  </sheetData>
  <mergeCells count="2">
    <mergeCell ref="A1:E1"/>
    <mergeCell ref="H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Props1.xml><?xml version="1.0" encoding="utf-8"?>
<ds:datastoreItem xmlns:ds="http://schemas.openxmlformats.org/officeDocument/2006/customXml" ds:itemID="{6F5BC460-4453-4E48-90EE-F7461AC73087}"/>
</file>

<file path=customXml/itemProps2.xml><?xml version="1.0" encoding="utf-8"?>
<ds:datastoreItem xmlns:ds="http://schemas.openxmlformats.org/officeDocument/2006/customXml" ds:itemID="{04885F24-A6B5-4EF4-868D-D1610534A8B3}"/>
</file>

<file path=customXml/itemProps3.xml><?xml version="1.0" encoding="utf-8"?>
<ds:datastoreItem xmlns:ds="http://schemas.openxmlformats.org/officeDocument/2006/customXml" ds:itemID="{F9C9B957-2306-4B51-9F14-010AF7B739D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Rept_SE</vt:lpstr>
      <vt:lpstr>Exemplo1</vt:lpstr>
      <vt:lpstr>Exemplo2</vt:lpstr>
      <vt:lpstr>Exemplo3</vt:lpstr>
      <vt:lpstr>Exemplo4_Resumo</vt:lpstr>
      <vt:lpstr>Exemplo4</vt:lpstr>
      <vt:lpstr>Exemplo5</vt:lpstr>
      <vt:lpstr>Exemplo6</vt:lpstr>
      <vt:lpstr>Exemplo7</vt:lpstr>
      <vt:lpstr>Exemplo8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User</cp:lastModifiedBy>
  <dcterms:created xsi:type="dcterms:W3CDTF">2015-02-14T17:36:10Z</dcterms:created>
  <dcterms:modified xsi:type="dcterms:W3CDTF">2019-05-21T17:08:46Z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