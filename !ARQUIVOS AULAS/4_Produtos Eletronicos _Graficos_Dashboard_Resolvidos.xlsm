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10.xml" ContentType="application/vnd.openxmlformats-officedocument.drawing+xml"/>
  <Override PartName="/xl/drawings/drawing9.xml" ContentType="application/vnd.openxmlformats-officedocument.drawing+xml"/>
  <Override PartName="/xl/charts/colors10.xml" ContentType="application/vnd.ms-office.chartcolorstyle+xml"/>
  <Override PartName="/xl/charts/style10.xml" ContentType="application/vnd.ms-office.chartstyle+xml"/>
  <Override PartName="/xl/charts/chart11.xml" ContentType="application/vnd.openxmlformats-officedocument.drawingml.chart+xml"/>
  <Override PartName="/xl/charts/style11.xml" ContentType="application/vnd.ms-office.chartsty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olors11.xml" ContentType="application/vnd.ms-office.chartcolorstyle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olors8.xml" ContentType="application/vnd.ms-office.chartcolorstyle+xml"/>
  <Override PartName="/xl/charts/style8.xml" ContentType="application/vnd.ms-office.chart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charts/colors2.xml" ContentType="application/vnd.ms-office.chartcolorstyle+xml"/>
  <Override PartName="/xl/charts/style2.xml" ContentType="application/vnd.ms-office.chartstyle+xml"/>
  <Override PartName="/xl/charts/chart2.xml" ContentType="application/vnd.openxmlformats-officedocument.drawingml.chart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drawings/drawing4.xml" ContentType="application/vnd.openxmlformats-officedocument.drawing+xml"/>
  <Override PartName="/xl/charts/colors7.xml" ContentType="application/vnd.ms-office.chartcolorstyle+xml"/>
  <Override PartName="/xl/charts/style4.xml" ContentType="application/vnd.ms-office.chartstyle+xml"/>
  <Override PartName="/xl/charts/chart4.xml" ContentType="application/vnd.openxmlformats-officedocument.drawingml.chart+xml"/>
  <Override PartName="/xl/charts/colors3.xml" ContentType="application/vnd.ms-office.chartcolorstyle+xml"/>
  <Override PartName="/xl/charts/style1.xml" ContentType="application/vnd.ms-office.chartstyle+xml"/>
  <Override PartName="/xl/charts/chart1.xml" ContentType="application/vnd.openxmlformats-officedocument.drawingml.char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style5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colors5.xml" ContentType="application/vnd.ms-office.chartcolorstyle+xml"/>
  <Override PartName="/xl/drawings/drawing5.xml" ContentType="application/vnd.openxmlformats-officedocument.drawing+xml"/>
  <Override PartName="/xl/charts/style7.xml" ContentType="application/vnd.ms-office.chartstyle+xml"/>
  <Override PartName="/xl/charts/chart7.xml" ContentType="application/vnd.openxmlformats-officedocument.drawingml.chart+xml"/>
  <Override PartName="/xl/ctrlProps/ctrlProp1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17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.xml" ContentType="application/vnd.ms-excel.controlproperties+xml"/>
  <Override PartName="/xl/ctrlProps/ctrlProp19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20.xml" ContentType="application/vnd.ms-excel.controlproperties+xml"/>
  <Override PartName="/xl/ctrlProps/ctrlProp5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7.xml" ContentType="application/vnd.ms-excel.controlproperties+xml"/>
  <Override PartName="/xl/ctrlProps/ctrlProp3.xml" ContentType="application/vnd.ms-excel.controlproperties+xml"/>
  <Override PartName="/xl/ctrlProps/ctrlProp18.xml" ContentType="application/vnd.ms-excel.controlproperties+xml"/>
  <Override PartName="/xl/ctrlProps/ctrlProp8.xml" ContentType="application/vnd.ms-excel.controlproperties+xml"/>
  <Override PartName="/xl/ctrlProps/ctrlProp10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84656980-2A34-4635-9D47-1A9F405C2CB1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Rept_SE" sheetId="26" r:id="rId1"/>
    <sheet name="Exemplo1" sheetId="7" r:id="rId2"/>
    <sheet name="Exemplo2" sheetId="17" r:id="rId3"/>
    <sheet name="Exemplo3" sheetId="28" r:id="rId4"/>
    <sheet name="Exemplo4_Resumo" sheetId="24" r:id="rId5"/>
    <sheet name="Exempo4" sheetId="31" r:id="rId6"/>
    <sheet name="Exemplo5" sheetId="25" r:id="rId7"/>
    <sheet name="Posição_Pont." sheetId="48" state="hidden" r:id="rId8"/>
    <sheet name="Exemplo6" sheetId="38" r:id="rId9"/>
    <sheet name="Exemplo7" sheetId="44" r:id="rId10"/>
    <sheet name="Exemplo8" sheetId="36" r:id="rId11"/>
  </sheets>
  <definedNames>
    <definedName name="_xlnm._FilterDatabase" localSheetId="2" hidden="1">Exemplo2!$F$1:$G$10</definedName>
    <definedName name="_xlnm._FilterDatabase" localSheetId="3" hidden="1">Exemplo3!$F$1:$H$10</definedName>
    <definedName name="_xlnm._FilterDatabase" localSheetId="4" hidden="1">Exemplo4_Resumo!#REF!</definedName>
    <definedName name="_xlnm._FilterDatabase" localSheetId="10" hidden="1">Exemplo8!$A$2:$E$18</definedName>
    <definedName name="_xlnm._FilterDatabase" localSheetId="5" hidden="1">Exempo4!$A$2:$E$18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2" i="25" l="1"/>
  <c r="J1" i="36" l="1"/>
  <c r="H3" i="36" s="1"/>
  <c r="D1" i="44"/>
  <c r="B7" i="44" s="1"/>
  <c r="E6" i="44"/>
  <c r="G1" i="44" s="1"/>
  <c r="D2" i="44"/>
  <c r="C7" i="44" s="1"/>
  <c r="D3" i="44"/>
  <c r="D7" i="44" s="1"/>
  <c r="D4" i="44"/>
  <c r="E7" i="44" s="1"/>
  <c r="E1" i="25" l="1"/>
  <c r="D3" i="25" s="1"/>
  <c r="A1" i="24" l="1"/>
  <c r="D4" i="24" s="1"/>
  <c r="A30" i="25" l="1"/>
  <c r="E4" i="26" l="1"/>
  <c r="E5" i="26"/>
  <c r="E6" i="26"/>
  <c r="E7" i="26"/>
  <c r="E8" i="26"/>
  <c r="E9" i="26"/>
  <c r="E10" i="26"/>
  <c r="E11" i="26"/>
  <c r="G2" i="44" l="1"/>
  <c r="G3" i="44"/>
  <c r="G4" i="44"/>
  <c r="D6" i="25" l="1"/>
  <c r="D5" i="25" l="1"/>
  <c r="D4" i="25"/>
  <c r="B7" i="38" l="1"/>
  <c r="B3" i="38" s="1"/>
  <c r="I1" i="7" l="1"/>
  <c r="I4" i="7" s="1"/>
  <c r="I5" i="7" l="1"/>
  <c r="I7" i="7"/>
  <c r="J7" i="7"/>
  <c r="I6" i="7"/>
  <c r="J6" i="36"/>
  <c r="H5" i="36" l="1"/>
  <c r="I4" i="36"/>
  <c r="J3" i="36"/>
  <c r="J4" i="36"/>
  <c r="I5" i="36"/>
  <c r="H6" i="36"/>
  <c r="J5" i="36"/>
  <c r="I6" i="36"/>
  <c r="I3" i="36"/>
  <c r="H4" i="36"/>
  <c r="D7" i="25" l="1"/>
  <c r="C7" i="25"/>
  <c r="F1" i="28"/>
  <c r="I1" i="17"/>
  <c r="G3" i="17" s="1"/>
  <c r="E17" i="7"/>
  <c r="F17" i="7" s="1"/>
  <c r="D17" i="7"/>
  <c r="E16" i="7"/>
  <c r="F16" i="7" s="1"/>
  <c r="D16" i="7"/>
  <c r="E15" i="7"/>
  <c r="F15" i="7" s="1"/>
  <c r="D15" i="7"/>
  <c r="E14" i="7"/>
  <c r="F14" i="7" s="1"/>
  <c r="D14" i="7"/>
  <c r="E13" i="7"/>
  <c r="F13" i="7" s="1"/>
  <c r="D13" i="7"/>
  <c r="E12" i="7"/>
  <c r="F12" i="7" s="1"/>
  <c r="D12" i="7"/>
  <c r="E11" i="7"/>
  <c r="F11" i="7" s="1"/>
  <c r="D11" i="7"/>
  <c r="E10" i="7"/>
  <c r="F10" i="7" s="1"/>
  <c r="D10" i="7"/>
  <c r="E9" i="7"/>
  <c r="F9" i="7" s="1"/>
  <c r="D9" i="7"/>
  <c r="E8" i="7"/>
  <c r="F8" i="7" s="1"/>
  <c r="D8" i="7"/>
  <c r="E7" i="7"/>
  <c r="F7" i="7" s="1"/>
  <c r="D7" i="7"/>
  <c r="E6" i="7"/>
  <c r="F6" i="7" s="1"/>
  <c r="D6" i="7"/>
  <c r="E5" i="7"/>
  <c r="F5" i="7" s="1"/>
  <c r="J5" i="7" s="1"/>
  <c r="D5" i="7"/>
  <c r="E4" i="7"/>
  <c r="F4" i="7" s="1"/>
  <c r="D4" i="7"/>
  <c r="C12" i="25" l="1"/>
  <c r="B12" i="25"/>
  <c r="H3" i="28"/>
  <c r="B3" i="24"/>
  <c r="D3" i="24"/>
  <c r="H4" i="17"/>
  <c r="J6" i="7"/>
  <c r="H4" i="28"/>
  <c r="I6" i="28"/>
  <c r="K1" i="28"/>
  <c r="C6" i="24"/>
  <c r="G4" i="17"/>
  <c r="H3" i="17"/>
  <c r="G6" i="17"/>
  <c r="G5" i="17"/>
  <c r="H6" i="17"/>
  <c r="H5" i="17"/>
  <c r="I3" i="28"/>
  <c r="J3" i="28" s="1"/>
  <c r="H5" i="28"/>
  <c r="I5" i="28"/>
  <c r="H6" i="28"/>
  <c r="I4" i="28"/>
  <c r="D6" i="24"/>
  <c r="D5" i="24"/>
  <c r="B4" i="24"/>
  <c r="B5" i="24"/>
  <c r="B6" i="24"/>
  <c r="C3" i="24"/>
  <c r="C4" i="24"/>
  <c r="C5" i="24"/>
  <c r="J4" i="7"/>
  <c r="J6" i="28" l="1"/>
  <c r="J5" i="28"/>
  <c r="J4" i="28"/>
  <c r="I4" i="17"/>
  <c r="I5" i="17"/>
  <c r="I3" i="17"/>
  <c r="I6" i="17"/>
  <c r="E6" i="24"/>
  <c r="E4" i="24"/>
  <c r="E3" i="24"/>
  <c r="E5" i="24"/>
</calcChain>
</file>

<file path=xl/sharedStrings.xml><?xml version="1.0" encoding="utf-8"?>
<sst xmlns="http://schemas.openxmlformats.org/spreadsheetml/2006/main" count="299" uniqueCount="72">
  <si>
    <t>Produtos eletrônicos</t>
  </si>
  <si>
    <t>Quantidade</t>
  </si>
  <si>
    <t>TV</t>
  </si>
  <si>
    <t>Celular</t>
  </si>
  <si>
    <t>Tablet</t>
  </si>
  <si>
    <t>iPad</t>
  </si>
  <si>
    <t>Valor Total</t>
  </si>
  <si>
    <t>Preço Unitário</t>
  </si>
  <si>
    <t>Resultados condicionais</t>
  </si>
  <si>
    <t>Resultado</t>
  </si>
  <si>
    <t>Valor</t>
  </si>
  <si>
    <t>Reajuste</t>
  </si>
  <si>
    <t>Total com Reajuste</t>
  </si>
  <si>
    <t>Jan</t>
  </si>
  <si>
    <t>Fev</t>
  </si>
  <si>
    <t>Mar</t>
  </si>
  <si>
    <t>Qtd - Produtos meses</t>
  </si>
  <si>
    <t>Total</t>
  </si>
  <si>
    <t>Fatura</t>
  </si>
  <si>
    <t>Previsão Orçamentária</t>
  </si>
  <si>
    <t>Meses</t>
  </si>
  <si>
    <t>Set</t>
  </si>
  <si>
    <t>Out</t>
  </si>
  <si>
    <t>Nov</t>
  </si>
  <si>
    <t>Dez</t>
  </si>
  <si>
    <t>Vendas 1</t>
  </si>
  <si>
    <t>Vendas 2</t>
  </si>
  <si>
    <t>Vendas 3</t>
  </si>
  <si>
    <t>Resultado Estatístico</t>
  </si>
  <si>
    <t>Loja 1</t>
  </si>
  <si>
    <t>Loja 2</t>
  </si>
  <si>
    <t>Lojas</t>
  </si>
  <si>
    <t>Qtd1</t>
  </si>
  <si>
    <t>Qtd2</t>
  </si>
  <si>
    <t>Qtd 1</t>
  </si>
  <si>
    <t>Qtd 2</t>
  </si>
  <si>
    <t>Loja 3</t>
  </si>
  <si>
    <t>Loja 4</t>
  </si>
  <si>
    <t>Produto</t>
  </si>
  <si>
    <t>Loja</t>
  </si>
  <si>
    <t>Posição</t>
  </si>
  <si>
    <t>Cidade</t>
  </si>
  <si>
    <t>Campinas</t>
  </si>
  <si>
    <t>Sumaré</t>
  </si>
  <si>
    <t>Hortolândia</t>
  </si>
  <si>
    <t>SE(E($I$1=1;$B$21=$A$26);F3+F3*$P$2;SE(E($I$1=2;B22=$A$27);F3-F3*$P$3;F3))</t>
  </si>
  <si>
    <t>Preços - Produtos meses</t>
  </si>
  <si>
    <t>Produtos</t>
  </si>
  <si>
    <t>Ponta</t>
  </si>
  <si>
    <t>Eixo X</t>
  </si>
  <si>
    <t>Eixo Y</t>
  </si>
  <si>
    <t>Posição:</t>
  </si>
  <si>
    <t>Base</t>
  </si>
  <si>
    <t>Meta</t>
  </si>
  <si>
    <t>Realizado</t>
  </si>
  <si>
    <t>Alcançado</t>
  </si>
  <si>
    <t>È</t>
  </si>
  <si>
    <t>Ç</t>
  </si>
  <si>
    <t>â</t>
  </si>
  <si>
    <t>l</t>
  </si>
  <si>
    <t>Multa</t>
  </si>
  <si>
    <t>⁞</t>
  </si>
  <si>
    <t>:</t>
  </si>
  <si>
    <t>SE($E$1=$J$1;REPT($K$1;D4);SE($E$1=$J$2;REPT($K$2;D4);SE($E$1=$J$3;REPT($K$3;D4);REPT($K$4;D4))))</t>
  </si>
  <si>
    <t>Células:</t>
  </si>
  <si>
    <t>E1 = Posição de cada produto. J1 = Posição (1). K1 = símbolo.</t>
  </si>
  <si>
    <t>E1 = Posição de cada produto. J2 = Posição (2). K2 = símbolo.</t>
  </si>
  <si>
    <t xml:space="preserve"> K4 = símbolo.</t>
  </si>
  <si>
    <t>SEN(PI()*B9/D7)</t>
  </si>
  <si>
    <t>COS(PI()*B9/D7)</t>
  </si>
  <si>
    <t>!</t>
  </si>
  <si>
    <t xml:space="preserve">Soma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</si>
</sst>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  <numFmt numFmtId="168" formatCode="[$-F400]h:mm:ss\ AM/PM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2"/>
      <color theme="1"/>
      <name val="Verdana"/>
      <family val="2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name val="Wingdings 3"/>
      <family val="1"/>
      <charset val="2"/>
    </font>
    <font>
      <sz val="1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1"/>
      <color theme="1"/>
      <name val="Verdana"/>
      <family val="2"/>
    </font>
    <font>
      <b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3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43" fontId="0" fillId="0" borderId="1" xfId="1" applyFont="1" applyBorder="1"/>
    <xf numFmtId="166" fontId="0" fillId="0" borderId="1" xfId="3" applyNumberFormat="1" applyFont="1" applyBorder="1"/>
    <xf numFmtId="0" fontId="2" fillId="0" borderId="1" xfId="0" applyFont="1" applyBorder="1" applyAlignment="1">
      <alignment horizontal="left" vertical="center" wrapText="1"/>
    </xf>
    <xf numFmtId="165" fontId="0" fillId="0" borderId="0" xfId="0" applyNumberFormat="1"/>
    <xf numFmtId="0" fontId="0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/>
    <xf numFmtId="0" fontId="0" fillId="0" borderId="1" xfId="0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/>
    </xf>
    <xf numFmtId="0" fontId="0" fillId="0" borderId="6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9" fillId="0" borderId="0" xfId="0" applyFont="1"/>
    <xf numFmtId="0" fontId="10" fillId="0" borderId="1" xfId="0" applyFont="1" applyBorder="1"/>
    <xf numFmtId="43" fontId="0" fillId="0" borderId="1" xfId="1" applyFont="1" applyBorder="1" applyProtection="1">
      <protection locked="0"/>
    </xf>
    <xf numFmtId="9" fontId="0" fillId="0" borderId="0" xfId="3" applyFont="1"/>
    <xf numFmtId="0" fontId="3" fillId="5" borderId="1" xfId="0" applyFont="1" applyFill="1" applyBorder="1"/>
    <xf numFmtId="0" fontId="3" fillId="6" borderId="1" xfId="0" applyFont="1" applyFill="1" applyBorder="1"/>
    <xf numFmtId="0" fontId="11" fillId="0" borderId="1" xfId="0" applyFont="1" applyBorder="1"/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/>
    <xf numFmtId="0" fontId="0" fillId="0" borderId="0" xfId="0" applyFont="1"/>
    <xf numFmtId="0" fontId="2" fillId="6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13" fillId="2" borderId="1" xfId="0" applyFont="1" applyFill="1" applyBorder="1" applyAlignment="1">
      <alignment horizontal="center"/>
    </xf>
    <xf numFmtId="43" fontId="0" fillId="0" borderId="1" xfId="1" applyFont="1" applyBorder="1" applyAlignment="1">
      <alignment horizontal="left"/>
    </xf>
    <xf numFmtId="0" fontId="12" fillId="0" borderId="5" xfId="0" applyFont="1" applyBorder="1"/>
    <xf numFmtId="0" fontId="11" fillId="0" borderId="5" xfId="0" applyFont="1" applyBorder="1" applyAlignment="1">
      <alignment horizontal="center"/>
    </xf>
    <xf numFmtId="9" fontId="12" fillId="0" borderId="5" xfId="3" applyFont="1" applyBorder="1" applyAlignment="1">
      <alignment horizontal="center"/>
    </xf>
    <xf numFmtId="0" fontId="15" fillId="0" borderId="1" xfId="0" applyFont="1" applyBorder="1"/>
    <xf numFmtId="0" fontId="1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6" fillId="0" borderId="1" xfId="0" applyFont="1" applyBorder="1"/>
    <xf numFmtId="164" fontId="0" fillId="0" borderId="0" xfId="2" applyFont="1" applyBorder="1"/>
    <xf numFmtId="164" fontId="0" fillId="0" borderId="13" xfId="2" applyFont="1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164" fontId="0" fillId="0" borderId="18" xfId="2" applyFont="1" applyBorder="1"/>
    <xf numFmtId="0" fontId="0" fillId="0" borderId="18" xfId="0" applyBorder="1"/>
    <xf numFmtId="0" fontId="0" fillId="0" borderId="19" xfId="0" applyBorder="1"/>
    <xf numFmtId="0" fontId="17" fillId="0" borderId="12" xfId="0" applyFont="1" applyBorder="1"/>
    <xf numFmtId="164" fontId="17" fillId="0" borderId="13" xfId="2" applyFont="1" applyBorder="1"/>
    <xf numFmtId="164" fontId="17" fillId="0" borderId="0" xfId="2" applyFont="1" applyBorder="1"/>
    <xf numFmtId="164" fontId="17" fillId="0" borderId="18" xfId="2" applyFont="1" applyBorder="1"/>
    <xf numFmtId="0" fontId="2" fillId="0" borderId="0" xfId="0" applyFont="1"/>
    <xf numFmtId="0" fontId="2" fillId="0" borderId="5" xfId="0" applyFont="1" applyBorder="1" applyAlignment="1">
      <alignment horizontal="center" vertical="center" wrapText="1"/>
    </xf>
    <xf numFmtId="43" fontId="0" fillId="0" borderId="5" xfId="1" applyFont="1" applyBorder="1" applyAlignment="1">
      <alignment horizontal="left"/>
    </xf>
    <xf numFmtId="0" fontId="2" fillId="2" borderId="20" xfId="0" applyFont="1" applyFill="1" applyBorder="1" applyAlignment="1">
      <alignment horizontal="center" vertical="center"/>
    </xf>
    <xf numFmtId="165" fontId="0" fillId="2" borderId="1" xfId="1" applyNumberFormat="1" applyFont="1" applyFill="1" applyBorder="1"/>
    <xf numFmtId="0" fontId="19" fillId="0" borderId="1" xfId="0" applyFont="1" applyBorder="1" applyAlignment="1">
      <alignment horizontal="center" vertical="center"/>
    </xf>
    <xf numFmtId="0" fontId="20" fillId="0" borderId="0" xfId="0" applyFont="1"/>
    <xf numFmtId="0" fontId="21" fillId="0" borderId="0" xfId="0" applyFont="1"/>
    <xf numFmtId="9" fontId="0" fillId="0" borderId="0" xfId="0" applyNumberFormat="1"/>
    <xf numFmtId="0" fontId="22" fillId="0" borderId="1" xfId="0" applyFont="1" applyBorder="1"/>
    <xf numFmtId="0" fontId="18" fillId="0" borderId="0" xfId="0" applyFont="1" applyBorder="1" applyAlignment="1">
      <alignment vertical="center"/>
    </xf>
    <xf numFmtId="0" fontId="0" fillId="0" borderId="0" xfId="0" applyAlignment="1">
      <alignment horizontal="justify" vertical="center"/>
    </xf>
    <xf numFmtId="165" fontId="0" fillId="0" borderId="1" xfId="1" applyNumberFormat="1" applyFont="1" applyBorder="1" applyAlignment="1">
      <alignment horizontal="justify" vertical="center"/>
    </xf>
    <xf numFmtId="0" fontId="0" fillId="2" borderId="1" xfId="0" applyFill="1" applyBorder="1" applyAlignment="1"/>
    <xf numFmtId="0" fontId="0" fillId="0" borderId="7" xfId="0" applyBorder="1" applyAlignment="1">
      <alignment horizontal="center"/>
    </xf>
    <xf numFmtId="0" fontId="17" fillId="0" borderId="15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164" fontId="2" fillId="0" borderId="5" xfId="2" applyFont="1" applyBorder="1" applyAlignment="1">
      <alignment horizontal="left"/>
    </xf>
    <xf numFmtId="164" fontId="2" fillId="0" borderId="6" xfId="2" applyFon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8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4" fillId="6" borderId="1" xfId="0" applyFont="1" applyFill="1" applyBorder="1" applyAlignment="1"/>
    <xf numFmtId="0" fontId="2" fillId="6" borderId="1" xfId="0" applyFont="1" applyFill="1" applyBorder="1" applyAlignment="1">
      <alignment horizontal="center"/>
    </xf>
    <xf numFmtId="0" fontId="0" fillId="6" borderId="1" xfId="0" applyFont="1" applyFill="1" applyBorder="1"/>
    <xf numFmtId="0" fontId="8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5" fillId="6" borderId="1" xfId="0" applyFont="1" applyFill="1" applyBorder="1" applyAlignment="1">
      <alignment horizontal="center"/>
    </xf>
    <xf numFmtId="168" fontId="0" fillId="0" borderId="0" xfId="0" applyNumberFormat="1"/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8">
    <dxf>
      <font>
        <color theme="0"/>
      </font>
    </dxf>
    <dxf>
      <font>
        <color rgb="FFFF0000"/>
      </font>
    </dxf>
    <dxf>
      <font>
        <color rgb="FFFFFF00"/>
      </font>
    </dxf>
    <dxf>
      <font>
        <color rgb="FF00B050"/>
      </font>
    </dxf>
    <dxf>
      <font>
        <color theme="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  <dxf>
      <font>
        <color rgb="FF0070C0"/>
      </font>
    </dxf>
    <dxf>
      <font>
        <color theme="5"/>
      </font>
    </dxf>
    <dxf>
      <font>
        <color theme="9" tint="-0.24994659260841701"/>
      </font>
    </dxf>
    <dxf>
      <font>
        <color theme="8" tint="-0.24994659260841701"/>
      </font>
    </dxf>
    <dxf>
      <font>
        <color rgb="FFC00000"/>
      </font>
    </dxf>
    <dxf>
      <font>
        <color rgb="FFFFC000"/>
      </font>
    </dxf>
  </dxfs>
  <tableStyles count="0" defaultTableStyle="TableStyleMedium2" defaultPivotStyle="PivotStyleLight16"/>
  <colors>
    <mruColors>
      <color rgb="FF00FF00"/>
      <color rgb="FF000000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Exemplo1!$I$1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Exemplo1!$I$3</c:f>
              <c:strCache>
                <c:ptCount val="1"/>
                <c:pt idx="0">
                  <c:v> Quantidade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Exemplo1!$H$4:$H$7</c:f>
              <c:strCache>
                <c:ptCount val="4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</c:strCache>
            </c:strRef>
          </c:cat>
          <c:val>
            <c:numRef>
              <c:f>Exemplo1!$I$4:$I$7</c:f>
              <c:numCache>
                <c:formatCode>_-* #,##0_-;\-* #,##0_-;_-* "-"??_-;_-@_-</c:formatCode>
                <c:ptCount val="4"/>
                <c:pt idx="0">
                  <c:v>226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04-4817-8BF4-B0F349357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2766472"/>
        <c:axId val="402767128"/>
      </c:barChart>
      <c:catAx>
        <c:axId val="40276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767128"/>
        <c:crosses val="autoZero"/>
        <c:auto val="1"/>
        <c:lblAlgn val="ctr"/>
        <c:lblOffset val="100"/>
        <c:noMultiLvlLbl val="0"/>
      </c:catAx>
      <c:valAx>
        <c:axId val="402767128"/>
        <c:scaling>
          <c:orientation val="minMax"/>
          <c:max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76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Exemplo1!$I$1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Exemplo1!$J$3</c:f>
              <c:strCache>
                <c:ptCount val="1"/>
                <c:pt idx="0">
                  <c:v>Total com Reajuste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rgbClr val="FF0000"/>
                </a:solidFill>
              </a:ln>
              <a:effectLst/>
            </c:spPr>
          </c:marker>
          <c:cat>
            <c:strRef>
              <c:f>Exemplo1!$H$4:$H$7</c:f>
              <c:strCache>
                <c:ptCount val="4"/>
                <c:pt idx="0">
                  <c:v>TV</c:v>
                </c:pt>
                <c:pt idx="1">
                  <c:v>Celular</c:v>
                </c:pt>
                <c:pt idx="2">
                  <c:v>Tablet</c:v>
                </c:pt>
                <c:pt idx="3">
                  <c:v>iPad</c:v>
                </c:pt>
              </c:strCache>
            </c:strRef>
          </c:cat>
          <c:val>
            <c:numRef>
              <c:f>Exemplo1!$J$4:$J$7</c:f>
              <c:numCache>
                <c:formatCode>_(* #,##0.00_);_(* \(#,##0.00\);_(* "-"??_);_(@_)</c:formatCode>
                <c:ptCount val="4"/>
                <c:pt idx="0">
                  <c:v>283968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2-4874-8E3B-F893D1D87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739904"/>
        <c:axId val="402746136"/>
      </c:lineChart>
      <c:catAx>
        <c:axId val="4027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746136"/>
        <c:crosses val="autoZero"/>
        <c:auto val="1"/>
        <c:lblAlgn val="ctr"/>
        <c:lblOffset val="100"/>
        <c:noMultiLvlLbl val="0"/>
      </c:catAx>
      <c:valAx>
        <c:axId val="40274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27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Exemplo2!$I$1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Exemplo2!$G$2</c:f>
              <c:strCache>
                <c:ptCount val="1"/>
                <c:pt idx="0">
                  <c:v>Qtd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Exemplo2!$F$3:$F$6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Exemplo2!$G$3:$G$6</c:f>
              <c:numCache>
                <c:formatCode>General</c:formatCode>
                <c:ptCount val="4"/>
                <c:pt idx="0">
                  <c:v>200</c:v>
                </c:pt>
                <c:pt idx="1">
                  <c:v>600</c:v>
                </c:pt>
                <c:pt idx="2">
                  <c:v>420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2-4A94-90F0-AA554ADDAC53}"/>
            </c:ext>
          </c:extLst>
        </c:ser>
        <c:ser>
          <c:idx val="1"/>
          <c:order val="1"/>
          <c:tx>
            <c:strRef>
              <c:f>Exemplo2!$H$2</c:f>
              <c:strCache>
                <c:ptCount val="1"/>
                <c:pt idx="0">
                  <c:v>Qtd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Exemplo2!$F$3:$F$6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Exemplo2!$H$3:$H$6</c:f>
              <c:numCache>
                <c:formatCode>General</c:formatCode>
                <c:ptCount val="4"/>
                <c:pt idx="0">
                  <c:v>543</c:v>
                </c:pt>
                <c:pt idx="1">
                  <c:v>471</c:v>
                </c:pt>
                <c:pt idx="2">
                  <c:v>0</c:v>
                </c:pt>
                <c:pt idx="3">
                  <c:v>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12-4A94-90F0-AA554ADDA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52448"/>
        <c:axId val="146243200"/>
      </c:barChart>
      <c:catAx>
        <c:axId val="1462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243200"/>
        <c:crosses val="autoZero"/>
        <c:auto val="1"/>
        <c:lblAlgn val="ctr"/>
        <c:lblOffset val="100"/>
        <c:noMultiLvlLbl val="0"/>
      </c:catAx>
      <c:valAx>
        <c:axId val="14624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25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Exemplo2!$I$1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Exemplo2!$I$2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C1E4-4D32-8305-7B25C755C6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C1E4-4D32-8305-7B25C755C6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C1E4-4D32-8305-7B25C755C6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C1E4-4D32-8305-7B25C755C6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Exemplo2!$F$3:$F$6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Exemplo2!$I$3:$I$6</c:f>
              <c:numCache>
                <c:formatCode>General</c:formatCode>
                <c:ptCount val="4"/>
                <c:pt idx="0">
                  <c:v>743</c:v>
                </c:pt>
                <c:pt idx="1">
                  <c:v>1071</c:v>
                </c:pt>
                <c:pt idx="2">
                  <c:v>420</c:v>
                </c:pt>
                <c:pt idx="3">
                  <c:v>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1E4-4D32-8305-7B25C755C625}"/>
            </c:ext>
          </c:extLst>
        </c:ser>
        <c:ser>
          <c:idx val="0"/>
          <c:order val="1"/>
          <c:tx>
            <c:strRef>
              <c:f>Exemplo2!$I$2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E4-4D32-8305-7B25C755C62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E4-4D32-8305-7B25C755C62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1E4-4D32-8305-7B25C755C62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1E4-4D32-8305-7B25C755C6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Exemplo2!$F$3:$F$6</c:f>
              <c:strCache>
                <c:ptCount val="4"/>
                <c:pt idx="0">
                  <c:v>Loja 1</c:v>
                </c:pt>
                <c:pt idx="1">
                  <c:v>Loja 2</c:v>
                </c:pt>
                <c:pt idx="2">
                  <c:v>Loja 3</c:v>
                </c:pt>
                <c:pt idx="3">
                  <c:v>Loja 4</c:v>
                </c:pt>
              </c:strCache>
            </c:strRef>
          </c:cat>
          <c:val>
            <c:numRef>
              <c:f>Exemplo2!$I$3:$I$6</c:f>
              <c:numCache>
                <c:formatCode>General</c:formatCode>
                <c:ptCount val="4"/>
                <c:pt idx="0">
                  <c:v>743</c:v>
                </c:pt>
                <c:pt idx="1">
                  <c:v>1071</c:v>
                </c:pt>
                <c:pt idx="2">
                  <c:v>420</c:v>
                </c:pt>
                <c:pt idx="3">
                  <c:v>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E4-4D32-8305-7B25C755C62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accent6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Exemplo3!$F$1</c:f>
          <c:strCache>
            <c:ptCount val="1"/>
            <c:pt idx="0">
              <c:v>TV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Exemplo3!$J$2</c:f>
              <c:strCache>
                <c:ptCount val="1"/>
                <c:pt idx="0">
                  <c:v>Soma 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40000">
                  <a:srgbClr val="00B0F0"/>
                </a:gs>
                <a:gs pos="69000">
                  <a:schemeClr val="accent5">
                    <a:lumMod val="75000"/>
                  </a:schemeClr>
                </a:gs>
                <a:gs pos="100000">
                  <a:srgbClr val="002060"/>
                </a:gs>
              </a:gsLst>
              <a:lin ang="2700000" scaled="1"/>
              <a:tileRect/>
            </a:gradFill>
            <a:ln>
              <a:noFill/>
            </a:ln>
            <a:effectLst/>
          </c:spPr>
          <c:cat>
            <c:multiLvlStrRef>
              <c:f>Exemplo3!$F$3:$G$6</c:f>
              <c:multiLvlStrCache>
                <c:ptCount val="4"/>
                <c:lvl>
                  <c:pt idx="0">
                    <c:v> Loja 1 </c:v>
                  </c:pt>
                  <c:pt idx="1">
                    <c:v> Loja 2 </c:v>
                  </c:pt>
                  <c:pt idx="2">
                    <c:v> Loja 3 </c:v>
                  </c:pt>
                  <c:pt idx="3">
                    <c:v> Loja 4 </c:v>
                  </c:pt>
                </c:lvl>
                <c:lvl>
                  <c:pt idx="0">
                    <c:v>Celular</c:v>
                  </c:pt>
                  <c:pt idx="1">
                    <c:v>iPad</c:v>
                  </c:pt>
                  <c:pt idx="2">
                    <c:v>Tablet</c:v>
                  </c:pt>
                  <c:pt idx="3">
                    <c:v>TV</c:v>
                  </c:pt>
                </c:lvl>
              </c:multiLvlStrCache>
            </c:multiLvlStrRef>
          </c:cat>
          <c:val>
            <c:numRef>
              <c:f>Exemplo3!$J$3:$J$6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5-4906-800A-6576C96D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10064"/>
        <c:axId val="540806456"/>
      </c:areaChart>
      <c:catAx>
        <c:axId val="540810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0806456"/>
        <c:crosses val="autoZero"/>
        <c:auto val="1"/>
        <c:lblAlgn val="ctr"/>
        <c:lblOffset val="100"/>
        <c:noMultiLvlLbl val="0"/>
      </c:catAx>
      <c:valAx>
        <c:axId val="540806456"/>
        <c:scaling>
          <c:orientation val="minMax"/>
          <c:max val="9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081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Exemplo4_Resumo!$A$1</c:f>
          <c:strCache>
            <c:ptCount val="1"/>
            <c:pt idx="0">
              <c:v>Sumaré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Exemplo4_Resumo!$E$2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459-49BB-82BB-0C82CC92E35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459-49BB-82BB-0C82CC92E35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459-49BB-82BB-0C82CC92E359}"/>
              </c:ext>
            </c:extLst>
          </c:dPt>
          <c:dPt>
            <c:idx val="3"/>
            <c:bubble3D val="0"/>
            <c:explosion val="21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459-49BB-82BB-0C82CC92E359}"/>
              </c:ext>
            </c:extLst>
          </c:dPt>
          <c:dLbls>
            <c:dLbl>
              <c:idx val="0"/>
              <c:layout>
                <c:manualLayout>
                  <c:x val="5.7856661260637425E-2"/>
                  <c:y val="-8.818564521887986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59-49BB-82BB-0C82CC92E359}"/>
                </c:ext>
              </c:extLst>
            </c:dLbl>
            <c:dLbl>
              <c:idx val="1"/>
              <c:layout>
                <c:manualLayout>
                  <c:x val="9.5463491080051754E-2"/>
                  <c:y val="-0.1067510442123282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59-49BB-82BB-0C82CC92E359}"/>
                </c:ext>
              </c:extLst>
            </c:dLbl>
            <c:dLbl>
              <c:idx val="2"/>
              <c:layout>
                <c:manualLayout>
                  <c:x val="7.2320826575796734E-2"/>
                  <c:y val="5.105484723198289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459-49BB-82BB-0C82CC92E359}"/>
                </c:ext>
              </c:extLst>
            </c:dLbl>
            <c:dLbl>
              <c:idx val="3"/>
              <c:layout>
                <c:manualLayout>
                  <c:x val="-8.3892158827924265E-2"/>
                  <c:y val="-2.32067487418104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59-49BB-82BB-0C82CC92E3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Exemplo4_Resumo!$A$3:$A$6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Exemplo4_Resumo!$E$3:$E$6</c:f>
              <c:numCache>
                <c:formatCode>General</c:formatCode>
                <c:ptCount val="4"/>
                <c:pt idx="0">
                  <c:v>1676</c:v>
                </c:pt>
                <c:pt idx="1">
                  <c:v>3436</c:v>
                </c:pt>
                <c:pt idx="2">
                  <c:v>5107</c:v>
                </c:pt>
                <c:pt idx="3">
                  <c:v>2735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59-49BB-82BB-0C82CC92E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 b="1">
          <a:solidFill>
            <a:srgbClr val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Exemplo4_Resumo!$A$1</c:f>
          <c:strCache>
            <c:ptCount val="1"/>
            <c:pt idx="0">
              <c:v>Sumaré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0"/>
      <c:rotY val="5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Exemplo4_Resumo!$A$3</c:f>
              <c:strCache>
                <c:ptCount val="1"/>
                <c:pt idx="0">
                  <c:v>Celular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Exemplo4_Resumo!$B$2:$D$2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Exemplo4_Resumo!$B$3:$D$3</c:f>
              <c:numCache>
                <c:formatCode>General</c:formatCode>
                <c:ptCount val="3"/>
                <c:pt idx="0">
                  <c:v>547</c:v>
                </c:pt>
                <c:pt idx="1">
                  <c:v>557</c:v>
                </c:pt>
                <c:pt idx="2">
                  <c:v>572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6013-4CAB-911F-A7D2BCDDBDBE}"/>
            </c:ext>
          </c:extLst>
        </c:ser>
        <c:ser>
          <c:idx val="1"/>
          <c:order val="1"/>
          <c:tx>
            <c:strRef>
              <c:f>Exemplo4_Resumo!$A$4</c:f>
              <c:strCache>
                <c:ptCount val="1"/>
                <c:pt idx="0">
                  <c:v>iPad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Exemplo4_Resumo!$B$2:$D$2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Exemplo4_Resumo!$B$4:$D$4</c:f>
              <c:numCache>
                <c:formatCode>General</c:formatCode>
                <c:ptCount val="3"/>
                <c:pt idx="0">
                  <c:v>1122</c:v>
                </c:pt>
                <c:pt idx="1">
                  <c:v>1142</c:v>
                </c:pt>
                <c:pt idx="2">
                  <c:v>1172</c:v>
                </c:pt>
              </c:numCache>
            </c:numRef>
          </c:val>
          <c:shape val="coneToMax"/>
          <c:extLst>
            <c:ext xmlns:c16="http://schemas.microsoft.com/office/drawing/2014/chart" uri="{C3380CC4-5D6E-409C-BE32-E72D297353CC}">
              <c16:uniqueId val="{00000001-6013-4CAB-911F-A7D2BCDDBDBE}"/>
            </c:ext>
          </c:extLst>
        </c:ser>
        <c:ser>
          <c:idx val="2"/>
          <c:order val="2"/>
          <c:tx>
            <c:strRef>
              <c:f>Exemplo4_Resumo!$A$5</c:f>
              <c:strCache>
                <c:ptCount val="1"/>
                <c:pt idx="0">
                  <c:v>Tablet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Exemplo4_Resumo!$B$2:$D$2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Exemplo4_Resumo!$B$5:$D$5</c:f>
              <c:numCache>
                <c:formatCode>General</c:formatCode>
                <c:ptCount val="3"/>
                <c:pt idx="0">
                  <c:v>1679</c:v>
                </c:pt>
                <c:pt idx="1">
                  <c:v>1699</c:v>
                </c:pt>
                <c:pt idx="2">
                  <c:v>1729</c:v>
                </c:pt>
              </c:numCache>
            </c:numRef>
          </c:val>
          <c:shape val="pyramidToMax"/>
          <c:extLst>
            <c:ext xmlns:c16="http://schemas.microsoft.com/office/drawing/2014/chart" uri="{C3380CC4-5D6E-409C-BE32-E72D297353CC}">
              <c16:uniqueId val="{00000002-6013-4CAB-911F-A7D2BCDDBDBE}"/>
            </c:ext>
          </c:extLst>
        </c:ser>
        <c:ser>
          <c:idx val="3"/>
          <c:order val="3"/>
          <c:tx>
            <c:strRef>
              <c:f>Exemplo4_Resumo!$A$6</c:f>
              <c:strCache>
                <c:ptCount val="1"/>
                <c:pt idx="0">
                  <c:v>TV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Exemplo4_Resumo!$B$2:$D$2</c:f>
              <c:strCache>
                <c:ptCount val="3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</c:strCache>
            </c:strRef>
          </c:cat>
          <c:val>
            <c:numRef>
              <c:f>Exemplo4_Resumo!$B$6:$D$6</c:f>
              <c:numCache>
                <c:formatCode>General</c:formatCode>
                <c:ptCount val="3"/>
                <c:pt idx="0">
                  <c:v>900</c:v>
                </c:pt>
                <c:pt idx="1">
                  <c:v>910</c:v>
                </c:pt>
                <c:pt idx="2">
                  <c:v>925</c:v>
                </c:pt>
              </c:numCache>
            </c:numRef>
          </c:val>
          <c:shape val="pyramid"/>
          <c:extLst>
            <c:ext xmlns:c16="http://schemas.microsoft.com/office/drawing/2014/chart" uri="{C3380CC4-5D6E-409C-BE32-E72D297353CC}">
              <c16:uniqueId val="{00000003-6013-4CAB-911F-A7D2BCDDB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5"/>
        <c:gapDepth val="78"/>
        <c:shape val="box"/>
        <c:axId val="146245920"/>
        <c:axId val="146246464"/>
        <c:axId val="0"/>
      </c:bar3DChart>
      <c:catAx>
        <c:axId val="14624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246464"/>
        <c:crosses val="autoZero"/>
        <c:auto val="1"/>
        <c:lblAlgn val="ctr"/>
        <c:lblOffset val="100"/>
        <c:noMultiLvlLbl val="0"/>
      </c:catAx>
      <c:valAx>
        <c:axId val="1462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2459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 sz="1000" b="1">
          <a:solidFill>
            <a:srgbClr val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Exemplo5!$D$2</c:f>
          <c:strCache>
            <c:ptCount val="1"/>
            <c:pt idx="0">
              <c:v>Multa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115961673662019"/>
          <c:y val="0.1140819323862437"/>
          <c:w val="0.48688172731096757"/>
          <c:h val="0.838373449151946"/>
        </c:manualLayout>
      </c:layout>
      <c:doughnutChart>
        <c:varyColors val="1"/>
        <c:ser>
          <c:idx val="0"/>
          <c:order val="0"/>
          <c:tx>
            <c:strRef>
              <c:f>Exemplo5!$D$2</c:f>
              <c:strCache>
                <c:ptCount val="1"/>
                <c:pt idx="0">
                  <c:v>Multa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6-4CA2-B74E-9E56CFDE99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6-4CA2-B74E-9E56CFDE99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B6-4CA2-B74E-9E56CFDE994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B6-4CA2-B74E-9E56CFDE9940}"/>
              </c:ext>
            </c:extLst>
          </c:dPt>
          <c:dPt>
            <c:idx val="4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B6-4CA2-B74E-9E56CFDE9940}"/>
              </c:ext>
            </c:extLst>
          </c:dPt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B6-4CA2-B74E-9E56CFDE99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Exemplo5!$A$3:$A$7</c:f>
              <c:strCache>
                <c:ptCount val="5"/>
                <c:pt idx="0">
                  <c:v>Set</c:v>
                </c:pt>
                <c:pt idx="1">
                  <c:v>Out</c:v>
                </c:pt>
                <c:pt idx="2">
                  <c:v>Nov</c:v>
                </c:pt>
                <c:pt idx="3">
                  <c:v>Dez</c:v>
                </c:pt>
                <c:pt idx="4">
                  <c:v>Total</c:v>
                </c:pt>
              </c:strCache>
            </c:strRef>
          </c:cat>
          <c:val>
            <c:numRef>
              <c:f>Exemplo5!$D$3:$D$7</c:f>
              <c:numCache>
                <c:formatCode>_(* #,##0.00_);_(* \(#,##0.00\);_(* "-"??_);_(@_)</c:formatCode>
                <c:ptCount val="5"/>
                <c:pt idx="0">
                  <c:v>50</c:v>
                </c:pt>
                <c:pt idx="1">
                  <c:v>180</c:v>
                </c:pt>
                <c:pt idx="2">
                  <c:v>108</c:v>
                </c:pt>
                <c:pt idx="3">
                  <c:v>144</c:v>
                </c:pt>
                <c:pt idx="4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B6-4CA2-B74E-9E56CFDE9940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270"/>
        <c:holeSize val="69"/>
      </c:doughnutChart>
      <c:scatterChart>
        <c:scatterStyle val="smoothMarker"/>
        <c:varyColors val="0"/>
        <c:ser>
          <c:idx val="1"/>
          <c:order val="1"/>
          <c:tx>
            <c:v>Ponteiro</c:v>
          </c:tx>
          <c:spPr>
            <a:ln w="28575" cap="rnd">
              <a:solidFill>
                <a:schemeClr val="tx1"/>
              </a:solidFill>
              <a:round/>
              <a:headEnd type="diamond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9525">
                <a:solidFill>
                  <a:schemeClr val="tx1"/>
                </a:solidFill>
                <a:headEnd type="diamond" w="med" len="med"/>
                <a:tailEnd type="triangle" w="med" len="med"/>
              </a:ln>
              <a:effectLst/>
            </c:spPr>
          </c:marker>
          <c:dLbls>
            <c:delete val="1"/>
          </c:dLbls>
          <c:xVal>
            <c:numRef>
              <c:f>Exemplo5!$B$11:$B$12</c:f>
              <c:numCache>
                <c:formatCode>_-* #,##0_-;\-* #,##0_-;_-* "-"??_-;_-@_-</c:formatCode>
                <c:ptCount val="2"/>
                <c:pt idx="0">
                  <c:v>0</c:v>
                </c:pt>
                <c:pt idx="1">
                  <c:v>0.68130951480126489</c:v>
                </c:pt>
              </c:numCache>
            </c:numRef>
          </c:xVal>
          <c:yVal>
            <c:numRef>
              <c:f>Exemplo5!$C$11:$C$12</c:f>
              <c:numCache>
                <c:formatCode>_-* #,##0_-;\-* #,##0_-;_-* "-"??_-;_-@_-</c:formatCode>
                <c:ptCount val="2"/>
                <c:pt idx="0">
                  <c:v>0</c:v>
                </c:pt>
                <c:pt idx="1">
                  <c:v>0.73199545424904444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B6-4CA2-B74E-9E56CFDE9940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</c:dLbls>
        <c:axId val="152325040"/>
        <c:axId val="152309808"/>
      </c:scatterChart>
      <c:valAx>
        <c:axId val="152309808"/>
        <c:scaling>
          <c:orientation val="minMax"/>
          <c:max val="1.4"/>
          <c:min val="-1.4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2325040"/>
        <c:crosses val="autoZero"/>
        <c:crossBetween val="midCat"/>
      </c:valAx>
      <c:valAx>
        <c:axId val="152325040"/>
        <c:scaling>
          <c:orientation val="minMax"/>
          <c:max val="1.3"/>
          <c:min val="-1.3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15230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solidFill>
        <a:srgbClr val="002060"/>
      </a:solidFill>
      <a:prstDash val="sysDot"/>
      <a:round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D8-4619-A332-B2653EF8C8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D8-4619-A332-B2653EF8C8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D8-4619-A332-B2653EF8C8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D8-4619-A332-B2653EF8C8B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D8-4619-A332-B2653EF8C8B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D8-4619-A332-B2653EF8C8B9}"/>
              </c:ext>
            </c:extLst>
          </c:dPt>
          <c:dPt>
            <c:idx val="6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7B-494E-82F3-07C291A6EBE1}"/>
              </c:ext>
            </c:extLst>
          </c:dPt>
          <c:val>
            <c:numRef>
              <c:f>Exemplo5!$A$24:$A$30</c:f>
              <c:numCache>
                <c:formatCode>0%</c:formatCode>
                <c:ptCount val="7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B-494E-82F3-07C291A6E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Exemplo6!$B$7</c:f>
          <c:strCache>
            <c:ptCount val="1"/>
            <c:pt idx="0">
              <c:v>58%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3456046028353583"/>
          <c:y val="0.11750124849270387"/>
          <c:w val="0.51722154314577085"/>
          <c:h val="0.809006559014416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</c:spPr>
          <c:invertIfNegative val="0"/>
          <c:val>
            <c:numRef>
              <c:f>Exemplo6!$B$7</c:f>
              <c:numCache>
                <c:formatCode>0%</c:formatCode>
                <c:ptCount val="1"/>
                <c:pt idx="0">
                  <c:v>0.57999999999999996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16-4D2B-9637-0E5ADE9CF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15248"/>
        <c:axId val="152322864"/>
      </c:barChart>
      <c:catAx>
        <c:axId val="152315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22864"/>
        <c:crosses val="autoZero"/>
        <c:auto val="1"/>
        <c:lblAlgn val="ctr"/>
        <c:lblOffset val="100"/>
        <c:noMultiLvlLbl val="0"/>
      </c:catAx>
      <c:valAx>
        <c:axId val="1523228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15248"/>
        <c:crosses val="autoZero"/>
        <c:crossBetween val="between"/>
      </c:valAx>
      <c:spPr>
        <a:solidFill>
          <a:srgbClr val="FF0000"/>
        </a:solidFill>
        <a:ln>
          <a:noFill/>
        </a:ln>
        <a:effectLst/>
        <a:scene3d>
          <a:camera prst="orthographicFront"/>
          <a:lightRig rig="threePt" dir="t"/>
        </a:scene3d>
        <a:sp3d>
          <a:bevelT/>
        </a:sp3d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Exemplo8!$J$1</c:f>
          <c:strCache>
            <c:ptCount val="1"/>
            <c:pt idx="0">
              <c:v>Campinas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0356573424694211E-2"/>
          <c:y val="0.11652864169383102"/>
          <c:w val="0.86849274490429385"/>
          <c:h val="0.7288229885685821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Exemplo8!$H$2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invertIfNegative val="0"/>
          <c:cat>
            <c:strRef>
              <c:f>Exemplo8!$G$3:$G$6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Exemplo8!$H$3:$H$6</c:f>
              <c:numCache>
                <c:formatCode>General</c:formatCode>
                <c:ptCount val="4"/>
                <c:pt idx="0">
                  <c:v>545</c:v>
                </c:pt>
                <c:pt idx="1">
                  <c:v>236</c:v>
                </c:pt>
                <c:pt idx="2">
                  <c:v>454</c:v>
                </c:pt>
                <c:pt idx="3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F-4DE3-9004-0E6F7973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52311984"/>
        <c:axId val="152319056"/>
      </c:barChart>
      <c:barChart>
        <c:barDir val="col"/>
        <c:grouping val="clustered"/>
        <c:varyColors val="0"/>
        <c:ser>
          <c:idx val="2"/>
          <c:order val="2"/>
          <c:tx>
            <c:strRef>
              <c:f>Exemplo8!$J$2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softEdge rad="12700"/>
            </a:effectLst>
            <a:scene3d>
              <a:camera prst="orthographicFront"/>
              <a:lightRig rig="threePt" dir="t"/>
            </a:scene3d>
            <a:sp3d>
              <a:bevelT w="107950" h="95250"/>
              <a:bevelB w="101600" prst="riblet"/>
            </a:sp3d>
          </c:spPr>
          <c:invertIfNegative val="0"/>
          <c:cat>
            <c:strRef>
              <c:f>Exemplo8!$G$3:$G$6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Exemplo8!$J$3:$J$6</c:f>
              <c:numCache>
                <c:formatCode>General</c:formatCode>
                <c:ptCount val="4"/>
                <c:pt idx="0">
                  <c:v>476</c:v>
                </c:pt>
                <c:pt idx="1">
                  <c:v>280</c:v>
                </c:pt>
                <c:pt idx="2">
                  <c:v>266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4F-4DE3-9004-0E6F7973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2315792"/>
        <c:axId val="152316336"/>
      </c:barChart>
      <c:lineChart>
        <c:grouping val="stacked"/>
        <c:varyColors val="0"/>
        <c:ser>
          <c:idx val="1"/>
          <c:order val="1"/>
          <c:tx>
            <c:strRef>
              <c:f>Exemplo8!$I$2</c:f>
              <c:strCache>
                <c:ptCount val="1"/>
                <c:pt idx="0">
                  <c:v>Fev</c:v>
                </c:pt>
              </c:strCache>
            </c:strRef>
          </c:tx>
          <c:spPr>
            <a:ln w="57150" cap="rnd">
              <a:solidFill>
                <a:srgbClr val="FF0000"/>
              </a:solidFill>
              <a:prstDash val="sysDot"/>
              <a:round/>
              <a:headEnd type="none" w="med" len="med"/>
              <a:tailEnd type="triangl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57150">
                <a:solidFill>
                  <a:srgbClr val="FF0000"/>
                </a:solidFill>
                <a:prstDash val="sysDot"/>
                <a:bevel/>
                <a:headEnd type="none" w="med" len="med"/>
                <a:tailEnd type="triangle" w="med" len="med"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</c:marker>
          <c:cat>
            <c:strRef>
              <c:f>Exemplo8!$G$3:$G$6</c:f>
              <c:strCache>
                <c:ptCount val="4"/>
                <c:pt idx="0">
                  <c:v>Celular</c:v>
                </c:pt>
                <c:pt idx="1">
                  <c:v>iPad</c:v>
                </c:pt>
                <c:pt idx="2">
                  <c:v>Tablet</c:v>
                </c:pt>
                <c:pt idx="3">
                  <c:v>TV</c:v>
                </c:pt>
              </c:strCache>
            </c:strRef>
          </c:cat>
          <c:val>
            <c:numRef>
              <c:f>Exemplo8!$I$3:$I$6</c:f>
              <c:numCache>
                <c:formatCode>General</c:formatCode>
                <c:ptCount val="4"/>
                <c:pt idx="0">
                  <c:v>700</c:v>
                </c:pt>
                <c:pt idx="1">
                  <c:v>611</c:v>
                </c:pt>
                <c:pt idx="2">
                  <c:v>389</c:v>
                </c:pt>
                <c:pt idx="3">
                  <c:v>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D4F-4DE3-9004-0E6F7973D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15792"/>
        <c:axId val="152316336"/>
      </c:lineChart>
      <c:catAx>
        <c:axId val="152311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19056"/>
        <c:crosses val="autoZero"/>
        <c:auto val="1"/>
        <c:lblAlgn val="ctr"/>
        <c:lblOffset val="100"/>
        <c:noMultiLvlLbl val="0"/>
      </c:catAx>
      <c:valAx>
        <c:axId val="15231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11984"/>
        <c:crosses val="autoZero"/>
        <c:crossBetween val="between"/>
      </c:valAx>
      <c:valAx>
        <c:axId val="1523163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315792"/>
        <c:crosses val="max"/>
        <c:crossBetween val="between"/>
      </c:valAx>
      <c:catAx>
        <c:axId val="152315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316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E$1" fmlaRange="$L$1:$L$4" noThreeD="1" sel="2" val="0"/>
</file>

<file path=xl/ctrlProps/ctrlProp2.xml><?xml version="1.0" encoding="utf-8"?>
<formControlPr xmlns="http://schemas.microsoft.com/office/spreadsheetml/2009/9/main" objectType="Spin" dx="22" fmlaLink="$H$1" max="4" min="1" page="10"/>
</file>

<file path=xl/ctrlProps/ctrlProp3.xml><?xml version="1.0" encoding="utf-8"?>
<formControlPr xmlns="http://schemas.microsoft.com/office/spreadsheetml/2009/9/main" objectType="Scroll" dx="22" fmlaLink="$G$1" horiz="1" max="4" min="1" page="10" val="4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H$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$C$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firstButton="1" fmlaLink="$F$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Scroll" dx="22" fmlaLink="$B$9" horiz="1" inc="5" max="500" min="1" page="10" val="356"/>
</file>

<file path=xl/ctrlProps/ctrlProp18.xml><?xml version="1.0" encoding="utf-8"?>
<formControlPr xmlns="http://schemas.microsoft.com/office/spreadsheetml/2009/9/main" objectType="Scroll" dx="22" fmlaLink="$B$6" inc="2" max="100" min="1" page="10" val="58"/>
</file>

<file path=xl/ctrlProps/ctrlProp19.xml><?xml version="1.0" encoding="utf-8"?>
<formControlPr xmlns="http://schemas.microsoft.com/office/spreadsheetml/2009/9/main" objectType="Scroll" dx="22" fmlaLink="$D$6" horiz="1" max="4" min="1" page="10" val="4"/>
</file>

<file path=xl/ctrlProps/ctrlProp20.xml><?xml version="1.0" encoding="utf-8"?>
<formControlPr xmlns="http://schemas.microsoft.com/office/spreadsheetml/2009/9/main" objectType="Scroll" dx="22" fmlaLink="$G$1" horiz="1" max="3" min="1" page="1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0</xdr:row>
          <xdr:rowOff>9525</xdr:rowOff>
        </xdr:from>
        <xdr:to>
          <xdr:col>4</xdr:col>
          <xdr:colOff>3486150</xdr:colOff>
          <xdr:row>0</xdr:row>
          <xdr:rowOff>333375</xdr:rowOff>
        </xdr:to>
        <xdr:sp macro="" textlink="">
          <xdr:nvSpPr>
            <xdr:cNvPr id="25601" name="Drop Dow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</xdr:row>
          <xdr:rowOff>0</xdr:rowOff>
        </xdr:from>
        <xdr:to>
          <xdr:col>10</xdr:col>
          <xdr:colOff>523875</xdr:colOff>
          <xdr:row>5</xdr:row>
          <xdr:rowOff>133350</xdr:rowOff>
        </xdr:to>
        <xdr:sp macro="" textlink="">
          <xdr:nvSpPr>
            <xdr:cNvPr id="10243" name="Spinner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328083</xdr:colOff>
      <xdr:row>7</xdr:row>
      <xdr:rowOff>131233</xdr:rowOff>
    </xdr:from>
    <xdr:to>
      <xdr:col>11</xdr:col>
      <xdr:colOff>423333</xdr:colOff>
      <xdr:row>26</xdr:row>
      <xdr:rowOff>16933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D2AC3FC-C340-476F-BF4E-2BE0101DC2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</xdr:colOff>
      <xdr:row>17</xdr:row>
      <xdr:rowOff>129910</xdr:rowOff>
    </xdr:from>
    <xdr:to>
      <xdr:col>6</xdr:col>
      <xdr:colOff>11905</xdr:colOff>
      <xdr:row>36</xdr:row>
      <xdr:rowOff>15610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6DBC32A-CB08-4E00-AEFF-98EC79E88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28575</xdr:rowOff>
        </xdr:from>
        <xdr:to>
          <xdr:col>7</xdr:col>
          <xdr:colOff>0</xdr:colOff>
          <xdr:row>0</xdr:row>
          <xdr:rowOff>238125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22731</xdr:colOff>
      <xdr:row>9</xdr:row>
      <xdr:rowOff>43295</xdr:rowOff>
    </xdr:from>
    <xdr:to>
      <xdr:col>18</xdr:col>
      <xdr:colOff>640773</xdr:colOff>
      <xdr:row>19</xdr:row>
      <xdr:rowOff>25976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19844</xdr:colOff>
      <xdr:row>0</xdr:row>
      <xdr:rowOff>0</xdr:rowOff>
    </xdr:from>
    <xdr:to>
      <xdr:col>18</xdr:col>
      <xdr:colOff>597477</xdr:colOff>
      <xdr:row>8</xdr:row>
      <xdr:rowOff>131330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190502</xdr:colOff>
      <xdr:row>0</xdr:row>
      <xdr:rowOff>130968</xdr:rowOff>
    </xdr:from>
    <xdr:to>
      <xdr:col>10</xdr:col>
      <xdr:colOff>261940</xdr:colOff>
      <xdr:row>1</xdr:row>
      <xdr:rowOff>107155</xdr:rowOff>
    </xdr:to>
    <xdr:sp macro="" textlink="">
      <xdr:nvSpPr>
        <xdr:cNvPr id="7" name="Colchete dup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250658" y="130968"/>
          <a:ext cx="738188" cy="238125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Total</a:t>
          </a:r>
        </a:p>
      </xdr:txBody>
    </xdr:sp>
    <xdr:clientData/>
  </xdr:twoCellAnchor>
  <xdr:twoCellAnchor>
    <xdr:from>
      <xdr:col>9</xdr:col>
      <xdr:colOff>76632</xdr:colOff>
      <xdr:row>9</xdr:row>
      <xdr:rowOff>102609</xdr:rowOff>
    </xdr:from>
    <xdr:to>
      <xdr:col>10</xdr:col>
      <xdr:colOff>245701</xdr:colOff>
      <xdr:row>11</xdr:row>
      <xdr:rowOff>21647</xdr:rowOff>
    </xdr:to>
    <xdr:sp macro="" textlink="">
      <xdr:nvSpPr>
        <xdr:cNvPr id="14" name="Colchete dup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107564" y="2085541"/>
          <a:ext cx="835819" cy="300038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Qtd</a:t>
          </a:r>
          <a:r>
            <a:rPr lang="pt-BR" sz="1200" b="1" baseline="0">
              <a:solidFill>
                <a:sysClr val="windowText" lastClr="000000"/>
              </a:solidFill>
            </a:rPr>
            <a:t> Lojas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152400</xdr:rowOff>
        </xdr:from>
        <xdr:to>
          <xdr:col>7</xdr:col>
          <xdr:colOff>161925</xdr:colOff>
          <xdr:row>13</xdr:row>
          <xdr:rowOff>104775</xdr:rowOff>
        </xdr:to>
        <xdr:sp macro="" textlink="">
          <xdr:nvSpPr>
            <xdr:cNvPr id="8193" name="Group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Produtos Eletrônicos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7</xdr:row>
          <xdr:rowOff>114300</xdr:rowOff>
        </xdr:from>
        <xdr:to>
          <xdr:col>6</xdr:col>
          <xdr:colOff>457200</xdr:colOff>
          <xdr:row>8</xdr:row>
          <xdr:rowOff>133350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8</xdr:row>
          <xdr:rowOff>180975</xdr:rowOff>
        </xdr:from>
        <xdr:to>
          <xdr:col>6</xdr:col>
          <xdr:colOff>466725</xdr:colOff>
          <xdr:row>10</xdr:row>
          <xdr:rowOff>9525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iPad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10</xdr:row>
          <xdr:rowOff>57150</xdr:rowOff>
        </xdr:from>
        <xdr:to>
          <xdr:col>6</xdr:col>
          <xdr:colOff>457200</xdr:colOff>
          <xdr:row>11</xdr:row>
          <xdr:rowOff>76200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11</xdr:row>
          <xdr:rowOff>123825</xdr:rowOff>
        </xdr:from>
        <xdr:to>
          <xdr:col>6</xdr:col>
          <xdr:colOff>457200</xdr:colOff>
          <xdr:row>12</xdr:row>
          <xdr:rowOff>142875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7F7F7F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TV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10583</xdr:colOff>
      <xdr:row>0</xdr:row>
      <xdr:rowOff>57148</xdr:rowOff>
    </xdr:from>
    <xdr:to>
      <xdr:col>19</xdr:col>
      <xdr:colOff>751417</xdr:colOff>
      <xdr:row>16</xdr:row>
      <xdr:rowOff>52916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76200</xdr:rowOff>
        </xdr:from>
        <xdr:to>
          <xdr:col>7</xdr:col>
          <xdr:colOff>152400</xdr:colOff>
          <xdr:row>6</xdr:row>
          <xdr:rowOff>0</xdr:rowOff>
        </xdr:to>
        <xdr:sp macro="" textlink="">
          <xdr:nvSpPr>
            <xdr:cNvPr id="11280" name="Group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5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</xdr:row>
          <xdr:rowOff>66675</xdr:rowOff>
        </xdr:from>
        <xdr:to>
          <xdr:col>7</xdr:col>
          <xdr:colOff>19050</xdr:colOff>
          <xdr:row>2</xdr:row>
          <xdr:rowOff>85725</xdr:rowOff>
        </xdr:to>
        <xdr:sp macro="" textlink="">
          <xdr:nvSpPr>
            <xdr:cNvPr id="11281" name="Option 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5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 w="9525">
              <a:solidFill>
                <a:srgbClr val="7F7F7F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Campinas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171450</xdr:rowOff>
        </xdr:from>
        <xdr:to>
          <xdr:col>7</xdr:col>
          <xdr:colOff>19050</xdr:colOff>
          <xdr:row>4</xdr:row>
          <xdr:rowOff>0</xdr:rowOff>
        </xdr:to>
        <xdr:sp macro="" textlink="">
          <xdr:nvSpPr>
            <xdr:cNvPr id="11282" name="Option 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5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 w="9525">
              <a:solidFill>
                <a:srgbClr val="7F7F7F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Sumaré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4</xdr:row>
          <xdr:rowOff>95250</xdr:rowOff>
        </xdr:from>
        <xdr:to>
          <xdr:col>7</xdr:col>
          <xdr:colOff>19050</xdr:colOff>
          <xdr:row>5</xdr:row>
          <xdr:rowOff>114300</xdr:rowOff>
        </xdr:to>
        <xdr:sp macro="" textlink="">
          <xdr:nvSpPr>
            <xdr:cNvPr id="11283" name="Option 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5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000"/>
            </a:solidFill>
            <a:ln w="9525">
              <a:solidFill>
                <a:srgbClr val="7F7F7F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Hortolândia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6</xdr:row>
      <xdr:rowOff>52820</xdr:rowOff>
    </xdr:from>
    <xdr:to>
      <xdr:col>7</xdr:col>
      <xdr:colOff>180976</xdr:colOff>
      <xdr:row>22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238991</xdr:colOff>
      <xdr:row>0</xdr:row>
      <xdr:rowOff>95250</xdr:rowOff>
    </xdr:from>
    <xdr:to>
      <xdr:col>19</xdr:col>
      <xdr:colOff>28574</xdr:colOff>
      <xdr:row>22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293929</xdr:colOff>
      <xdr:row>0</xdr:row>
      <xdr:rowOff>63500</xdr:rowOff>
    </xdr:from>
    <xdr:to>
      <xdr:col>16</xdr:col>
      <xdr:colOff>179917</xdr:colOff>
      <xdr:row>18</xdr:row>
      <xdr:rowOff>10583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76200</xdr:rowOff>
        </xdr:from>
        <xdr:to>
          <xdr:col>5</xdr:col>
          <xdr:colOff>504825</xdr:colOff>
          <xdr:row>1</xdr:row>
          <xdr:rowOff>314325</xdr:rowOff>
        </xdr:to>
        <xdr:sp macro="" textlink="">
          <xdr:nvSpPr>
            <xdr:cNvPr id="49153" name="Option 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7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8D8D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SETEMBRO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9525</xdr:rowOff>
        </xdr:from>
        <xdr:to>
          <xdr:col>5</xdr:col>
          <xdr:colOff>504825</xdr:colOff>
          <xdr:row>3</xdr:row>
          <xdr:rowOff>57150</xdr:rowOff>
        </xdr:to>
        <xdr:sp macro="" textlink="">
          <xdr:nvSpPr>
            <xdr:cNvPr id="49154" name="Option 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7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8D8D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OUTUBRO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3</xdr:row>
          <xdr:rowOff>133350</xdr:rowOff>
        </xdr:from>
        <xdr:to>
          <xdr:col>5</xdr:col>
          <xdr:colOff>504825</xdr:colOff>
          <xdr:row>4</xdr:row>
          <xdr:rowOff>171450</xdr:rowOff>
        </xdr:to>
        <xdr:sp macro="" textlink="">
          <xdr:nvSpPr>
            <xdr:cNvPr id="49155" name="Option 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7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8D8D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5</xdr:row>
          <xdr:rowOff>57150</xdr:rowOff>
        </xdr:from>
        <xdr:to>
          <xdr:col>5</xdr:col>
          <xdr:colOff>504825</xdr:colOff>
          <xdr:row>6</xdr:row>
          <xdr:rowOff>95250</xdr:rowOff>
        </xdr:to>
        <xdr:sp macro="" textlink="">
          <xdr:nvSpPr>
            <xdr:cNvPr id="49156" name="Option 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7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D8D8D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DEZEMBRO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161925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49157" name="Scroll Bar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7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476250</xdr:colOff>
      <xdr:row>3</xdr:row>
      <xdr:rowOff>137583</xdr:rowOff>
    </xdr:from>
    <xdr:to>
      <xdr:col>12</xdr:col>
      <xdr:colOff>296334</xdr:colOff>
      <xdr:row>12</xdr:row>
      <xdr:rowOff>13229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95250</xdr:colOff>
      <xdr:row>7</xdr:row>
      <xdr:rowOff>148168</xdr:rowOff>
    </xdr:from>
    <xdr:to>
      <xdr:col>12</xdr:col>
      <xdr:colOff>42334</xdr:colOff>
      <xdr:row>9</xdr:row>
      <xdr:rowOff>84668</xdr:rowOff>
    </xdr:to>
    <xdr:sp macro="" textlink="$A$22">
      <xdr:nvSpPr>
        <xdr:cNvPr id="4" name="Retângulo: Cantos Arredondados 3">
          <a:extLst>
            <a:ext uri="{FF2B5EF4-FFF2-40B4-BE49-F238E27FC236}">
              <a16:creationId xmlns:a16="http://schemas.microsoft.com/office/drawing/2014/main" id="{27EC7261-52E4-4FC0-A3F6-5F2868ABC6DB}"/>
            </a:ext>
          </a:extLst>
        </xdr:cNvPr>
        <xdr:cNvSpPr/>
      </xdr:nvSpPr>
      <xdr:spPr>
        <a:xfrm>
          <a:off x="7217833" y="1799168"/>
          <a:ext cx="1280584" cy="3175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B70D1A-9C4A-4A5C-A5DE-65258E0FE9D6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14:08:10</a:t>
          </a:fld>
          <a:endParaRPr lang="pt-BR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2</xdr:row>
      <xdr:rowOff>9525</xdr:rowOff>
    </xdr:from>
    <xdr:to>
      <xdr:col>6</xdr:col>
      <xdr:colOff>175261</xdr:colOff>
      <xdr:row>16</xdr:row>
      <xdr:rowOff>142875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4113" r="51307" b="11975"/>
        <a:stretch/>
      </xdr:blipFill>
      <xdr:spPr>
        <a:xfrm>
          <a:off x="38101" y="390525"/>
          <a:ext cx="3794760" cy="28003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6</xdr:col>
      <xdr:colOff>257175</xdr:colOff>
      <xdr:row>2</xdr:row>
      <xdr:rowOff>19050</xdr:rowOff>
    </xdr:from>
    <xdr:to>
      <xdr:col>12</xdr:col>
      <xdr:colOff>390676</xdr:colOff>
      <xdr:row>16</xdr:row>
      <xdr:rowOff>161925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3925" r="51505" b="12144"/>
        <a:stretch/>
      </xdr:blipFill>
      <xdr:spPr>
        <a:xfrm>
          <a:off x="3914775" y="400050"/>
          <a:ext cx="3791101" cy="2809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16328</xdr:colOff>
      <xdr:row>18</xdr:row>
      <xdr:rowOff>127906</xdr:rowOff>
    </xdr:from>
    <xdr:to>
      <xdr:col>6</xdr:col>
      <xdr:colOff>156314</xdr:colOff>
      <xdr:row>33</xdr:row>
      <xdr:rowOff>80281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23892" r="51292" b="12006"/>
        <a:stretch/>
      </xdr:blipFill>
      <xdr:spPr>
        <a:xfrm>
          <a:off x="16328" y="3556906"/>
          <a:ext cx="3813915" cy="2809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38100</xdr:colOff>
      <xdr:row>0</xdr:row>
      <xdr:rowOff>104775</xdr:rowOff>
    </xdr:from>
    <xdr:to>
      <xdr:col>2</xdr:col>
      <xdr:colOff>504825</xdr:colOff>
      <xdr:row>1</xdr:row>
      <xdr:rowOff>171450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38100" y="104775"/>
          <a:ext cx="16859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Posição do Ponteiro = 0</a:t>
          </a:r>
        </a:p>
      </xdr:txBody>
    </xdr:sp>
    <xdr:clientData/>
  </xdr:twoCellAnchor>
  <xdr:twoCellAnchor>
    <xdr:from>
      <xdr:col>6</xdr:col>
      <xdr:colOff>276225</xdr:colOff>
      <xdr:row>0</xdr:row>
      <xdr:rowOff>104775</xdr:rowOff>
    </xdr:from>
    <xdr:to>
      <xdr:col>9</xdr:col>
      <xdr:colOff>133350</xdr:colOff>
      <xdr:row>1</xdr:row>
      <xdr:rowOff>171450</xdr:rowOff>
    </xdr:to>
    <xdr:sp macro="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3933825" y="104775"/>
          <a:ext cx="1685925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Posição do Ponteiro = 90</a:t>
          </a:r>
        </a:p>
      </xdr:txBody>
    </xdr:sp>
    <xdr:clientData/>
  </xdr:twoCellAnchor>
  <xdr:twoCellAnchor>
    <xdr:from>
      <xdr:col>0</xdr:col>
      <xdr:colOff>47625</xdr:colOff>
      <xdr:row>17</xdr:row>
      <xdr:rowOff>9525</xdr:rowOff>
    </xdr:from>
    <xdr:to>
      <xdr:col>3</xdr:col>
      <xdr:colOff>9525</xdr:colOff>
      <xdr:row>18</xdr:row>
      <xdr:rowOff>76200</xdr:rowOff>
    </xdr:to>
    <xdr:sp macro="" textlink="">
      <xdr:nvSpPr>
        <xdr:cNvPr id="8" name="Retângulo Arredondad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7625" y="3248025"/>
          <a:ext cx="1798864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Posição do Ponteiro = 270</a:t>
          </a:r>
        </a:p>
      </xdr:txBody>
    </xdr:sp>
    <xdr:clientData/>
  </xdr:twoCellAnchor>
  <xdr:twoCellAnchor editAs="oneCell">
    <xdr:from>
      <xdr:col>6</xdr:col>
      <xdr:colOff>217715</xdr:colOff>
      <xdr:row>18</xdr:row>
      <xdr:rowOff>136072</xdr:rowOff>
    </xdr:from>
    <xdr:to>
      <xdr:col>12</xdr:col>
      <xdr:colOff>394608</xdr:colOff>
      <xdr:row>33</xdr:row>
      <xdr:rowOff>111304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23717" r="51413" b="12260"/>
        <a:stretch/>
      </xdr:blipFill>
      <xdr:spPr>
        <a:xfrm>
          <a:off x="3891644" y="3565072"/>
          <a:ext cx="3850821" cy="283273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240847</xdr:colOff>
      <xdr:row>17</xdr:row>
      <xdr:rowOff>53069</xdr:rowOff>
    </xdr:from>
    <xdr:to>
      <xdr:col>9</xdr:col>
      <xdr:colOff>202747</xdr:colOff>
      <xdr:row>18</xdr:row>
      <xdr:rowOff>119744</xdr:rowOff>
    </xdr:to>
    <xdr:sp macro="" textlink="">
      <xdr:nvSpPr>
        <xdr:cNvPr id="10" name="Retângulo Arredondad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3914776" y="3291569"/>
          <a:ext cx="1798864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Posição do Ponteiro = 350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85725</xdr:rowOff>
    </xdr:from>
    <xdr:to>
      <xdr:col>5</xdr:col>
      <xdr:colOff>247650</xdr:colOff>
      <xdr:row>18</xdr:row>
      <xdr:rowOff>153587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3</xdr:row>
          <xdr:rowOff>47625</xdr:rowOff>
        </xdr:from>
        <xdr:to>
          <xdr:col>2</xdr:col>
          <xdr:colOff>485775</xdr:colOff>
          <xdr:row>6</xdr:row>
          <xdr:rowOff>209550</xdr:rowOff>
        </xdr:to>
        <xdr:sp macro="" textlink="">
          <xdr:nvSpPr>
            <xdr:cNvPr id="46083" name="Scroll Bar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100693</xdr:colOff>
      <xdr:row>8</xdr:row>
      <xdr:rowOff>66675</xdr:rowOff>
    </xdr:from>
    <xdr:to>
      <xdr:col>2</xdr:col>
      <xdr:colOff>568693</xdr:colOff>
      <xdr:row>10</xdr:row>
      <xdr:rowOff>153675</xdr:rowOff>
    </xdr:to>
    <xdr:sp macro="" textlink="$G$2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325336" y="1590675"/>
          <a:ext cx="468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110BD0-FD0E-488B-8ED9-4E49985B0B84}" type="TxLink">
            <a:rPr lang="en-US" sz="5400" b="0" i="0" u="none" strike="noStrike">
              <a:solidFill>
                <a:srgbClr val="FFC000"/>
              </a:solidFill>
              <a:latin typeface="Wingdings"/>
              <a:cs typeface="Times New Roman"/>
            </a:rPr>
            <a:pPr algn="ctr"/>
            <a:t> </a:t>
          </a:fld>
          <a:endParaRPr lang="pt-BR" sz="5400">
            <a:solidFill>
              <a:srgbClr val="FFC000"/>
            </a:solidFill>
          </a:endParaRPr>
        </a:p>
      </xdr:txBody>
    </xdr:sp>
    <xdr:clientData/>
  </xdr:twoCellAnchor>
  <xdr:twoCellAnchor>
    <xdr:from>
      <xdr:col>3</xdr:col>
      <xdr:colOff>91168</xdr:colOff>
      <xdr:row>8</xdr:row>
      <xdr:rowOff>66675</xdr:rowOff>
    </xdr:from>
    <xdr:to>
      <xdr:col>3</xdr:col>
      <xdr:colOff>559168</xdr:colOff>
      <xdr:row>10</xdr:row>
      <xdr:rowOff>153675</xdr:rowOff>
    </xdr:to>
    <xdr:sp macro="" textlink="$G$3">
      <xdr:nvSpPr>
        <xdr:cNvPr id="3" name="CaixaDeText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928132" y="1590675"/>
          <a:ext cx="468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6A0BCC-7974-44FA-892B-1F157317A61C}" type="TxLink">
            <a:rPr lang="en-US" sz="5400" b="0" i="0" u="none" strike="noStrike">
              <a:solidFill>
                <a:srgbClr val="FF0000"/>
              </a:solidFill>
              <a:latin typeface="Wingdings"/>
              <a:cs typeface="Times New Roman"/>
            </a:rPr>
            <a:pPr algn="ctr"/>
            <a:t> </a:t>
          </a:fld>
          <a:endParaRPr lang="pt-BR" sz="54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81643</xdr:colOff>
      <xdr:row>8</xdr:row>
      <xdr:rowOff>66675</xdr:rowOff>
    </xdr:from>
    <xdr:to>
      <xdr:col>4</xdr:col>
      <xdr:colOff>549643</xdr:colOff>
      <xdr:row>10</xdr:row>
      <xdr:rowOff>153675</xdr:rowOff>
    </xdr:to>
    <xdr:sp macro="" textlink="$G$4">
      <xdr:nvSpPr>
        <xdr:cNvPr id="4" name="CaixaDe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530929" y="1590675"/>
          <a:ext cx="468000" cy="46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61824F-3AB6-416F-BF06-B12042138725}" type="TxLink">
            <a:rPr lang="en-US" sz="5400" b="0" i="0" u="none" strike="noStrike">
              <a:solidFill>
                <a:schemeClr val="bg1">
                  <a:lumMod val="50000"/>
                </a:schemeClr>
              </a:solidFill>
              <a:latin typeface="Wingdings"/>
              <a:cs typeface="Times New Roman"/>
            </a:rPr>
            <a:pPr algn="ctr"/>
            <a:t>l</a:t>
          </a:fld>
          <a:endParaRPr lang="pt-BR" sz="54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5</xdr:row>
          <xdr:rowOff>9525</xdr:rowOff>
        </xdr:from>
        <xdr:to>
          <xdr:col>2</xdr:col>
          <xdr:colOff>542925</xdr:colOff>
          <xdr:row>5</xdr:row>
          <xdr:rowOff>171450</xdr:rowOff>
        </xdr:to>
        <xdr:sp macro="" textlink="">
          <xdr:nvSpPr>
            <xdr:cNvPr id="63489" name="Scroll Bar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A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110219</xdr:colOff>
      <xdr:row>8</xdr:row>
      <xdr:rowOff>66675</xdr:rowOff>
    </xdr:from>
    <xdr:to>
      <xdr:col>1</xdr:col>
      <xdr:colOff>578219</xdr:colOff>
      <xdr:row>10</xdr:row>
      <xdr:rowOff>153675</xdr:rowOff>
    </xdr:to>
    <xdr:sp macro="" textlink="$G$1">
      <xdr:nvSpPr>
        <xdr:cNvPr id="6" name="CaixaDeText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722540" y="1590675"/>
          <a:ext cx="468000" cy="468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8E18E3-2B58-4FE6-ABB9-56797695C4BE}" type="TxLink">
            <a:rPr lang="en-US" sz="5400" b="0" i="0" u="none" strike="noStrike">
              <a:solidFill>
                <a:srgbClr val="00B050"/>
              </a:solidFill>
              <a:latin typeface="Wingdings" panose="05000000000000000000" pitchFamily="2" charset="2"/>
              <a:cs typeface="Times New Roman"/>
            </a:rPr>
            <a:pPr algn="ctr"/>
            <a:t> </a:t>
          </a:fld>
          <a:endParaRPr lang="pt-BR" sz="5400">
            <a:solidFill>
              <a:srgbClr val="00B050"/>
            </a:solidFill>
            <a:latin typeface="Wingdings" panose="05000000000000000000" pitchFamily="2" charset="2"/>
          </a:endParaRPr>
        </a:p>
      </xdr:txBody>
    </xdr:sp>
    <xdr:clientData/>
  </xdr:twoCellAnchor>
  <xdr:twoCellAnchor>
    <xdr:from>
      <xdr:col>5</xdr:col>
      <xdr:colOff>404134</xdr:colOff>
      <xdr:row>0</xdr:row>
      <xdr:rowOff>29935</xdr:rowOff>
    </xdr:from>
    <xdr:to>
      <xdr:col>9</xdr:col>
      <xdr:colOff>251734</xdr:colOff>
      <xdr:row>11</xdr:row>
      <xdr:rowOff>61233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6C1817BB-FBA1-48B8-80DD-9DF3E5BCCCA9}"/>
            </a:ext>
          </a:extLst>
        </xdr:cNvPr>
        <xdr:cNvGrpSpPr/>
      </xdr:nvGrpSpPr>
      <xdr:grpSpPr>
        <a:xfrm>
          <a:off x="3540580" y="29935"/>
          <a:ext cx="459922" cy="2126798"/>
          <a:chOff x="3785508" y="424542"/>
          <a:chExt cx="459922" cy="2126798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524B10A-CFED-4C5A-A114-3E043CA60D1B}"/>
              </a:ext>
            </a:extLst>
          </xdr:cNvPr>
          <xdr:cNvGrpSpPr/>
        </xdr:nvGrpSpPr>
        <xdr:grpSpPr>
          <a:xfrm>
            <a:off x="3898446" y="428624"/>
            <a:ext cx="210912" cy="2122716"/>
            <a:chOff x="3898446" y="428624"/>
            <a:chExt cx="210912" cy="2122716"/>
          </a:xfrm>
        </xdr:grpSpPr>
        <xdr:sp macro="" textlink="">
          <xdr:nvSpPr>
            <xdr:cNvPr id="7" name="Trapezoide 6">
              <a:extLst>
                <a:ext uri="{FF2B5EF4-FFF2-40B4-BE49-F238E27FC236}">
                  <a16:creationId xmlns:a16="http://schemas.microsoft.com/office/drawing/2014/main" id="{4C8723A4-1E10-422A-B9B8-A5AB6AECC9AF}"/>
                </a:ext>
              </a:extLst>
            </xdr:cNvPr>
            <xdr:cNvSpPr/>
          </xdr:nvSpPr>
          <xdr:spPr>
            <a:xfrm>
              <a:off x="3898446" y="2381251"/>
              <a:ext cx="210912" cy="170089"/>
            </a:xfrm>
            <a:prstGeom prst="trapezoid">
              <a:avLst>
                <a:gd name="adj" fmla="val 44445"/>
              </a:avLst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 4">
              <a:extLst>
                <a:ext uri="{FF2B5EF4-FFF2-40B4-BE49-F238E27FC236}">
                  <a16:creationId xmlns:a16="http://schemas.microsoft.com/office/drawing/2014/main" id="{BD11D09D-B071-44A7-A921-AE0054967537}"/>
                </a:ext>
              </a:extLst>
            </xdr:cNvPr>
            <xdr:cNvSpPr/>
          </xdr:nvSpPr>
          <xdr:spPr>
            <a:xfrm>
              <a:off x="3973286" y="428624"/>
              <a:ext cx="61231" cy="200025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23AF176-F6C1-4E17-9B04-4127DC9DB7C4}"/>
              </a:ext>
            </a:extLst>
          </xdr:cNvPr>
          <xdr:cNvSpPr/>
        </xdr:nvSpPr>
        <xdr:spPr>
          <a:xfrm>
            <a:off x="3785508" y="424542"/>
            <a:ext cx="459922" cy="1262743"/>
          </a:xfrm>
          <a:prstGeom prst="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5</xdr:col>
      <xdr:colOff>487137</xdr:colOff>
      <xdr:row>1</xdr:row>
      <xdr:rowOff>174626</xdr:rowOff>
    </xdr:from>
    <xdr:to>
      <xdr:col>9</xdr:col>
      <xdr:colOff>148319</xdr:colOff>
      <xdr:row>3</xdr:row>
      <xdr:rowOff>86180</xdr:rowOff>
    </xdr:to>
    <xdr:sp macro="" textlink="$G$2">
      <xdr:nvSpPr>
        <xdr:cNvPr id="18" name="CaixaDeTexto 17">
          <a:extLst>
            <a:ext uri="{FF2B5EF4-FFF2-40B4-BE49-F238E27FC236}">
              <a16:creationId xmlns:a16="http://schemas.microsoft.com/office/drawing/2014/main" id="{3BE008A5-4951-489B-8715-71780406F37A}"/>
            </a:ext>
          </a:extLst>
        </xdr:cNvPr>
        <xdr:cNvSpPr txBox="1"/>
      </xdr:nvSpPr>
      <xdr:spPr>
        <a:xfrm>
          <a:off x="3623583" y="365126"/>
          <a:ext cx="273504" cy="2925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110BD0-FD0E-488B-8ED9-4E49985B0B84}" type="TxLink">
            <a:rPr lang="en-US" sz="2800" b="0" i="0" u="none" strike="noStrike">
              <a:solidFill>
                <a:srgbClr val="FFC000"/>
              </a:solidFill>
              <a:latin typeface="Wingdings"/>
              <a:cs typeface="Times New Roman"/>
            </a:rPr>
            <a:pPr algn="ctr"/>
            <a:t> </a:t>
          </a:fld>
          <a:endParaRPr lang="pt-BR" sz="2800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487137</xdr:colOff>
      <xdr:row>3</xdr:row>
      <xdr:rowOff>70304</xdr:rowOff>
    </xdr:from>
    <xdr:to>
      <xdr:col>9</xdr:col>
      <xdr:colOff>148319</xdr:colOff>
      <xdr:row>4</xdr:row>
      <xdr:rowOff>172358</xdr:rowOff>
    </xdr:to>
    <xdr:sp macro="" textlink="$G$3">
      <xdr:nvSpPr>
        <xdr:cNvPr id="19" name="CaixaDeTexto 18">
          <a:extLst>
            <a:ext uri="{FF2B5EF4-FFF2-40B4-BE49-F238E27FC236}">
              <a16:creationId xmlns:a16="http://schemas.microsoft.com/office/drawing/2014/main" id="{3E5A3F98-4AB9-400B-AA37-B7D290B42EBA}"/>
            </a:ext>
          </a:extLst>
        </xdr:cNvPr>
        <xdr:cNvSpPr txBox="1"/>
      </xdr:nvSpPr>
      <xdr:spPr>
        <a:xfrm>
          <a:off x="3623583" y="641804"/>
          <a:ext cx="273504" cy="2925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06A0BCC-7974-44FA-892B-1F157317A61C}" type="TxLink">
            <a:rPr lang="en-US" sz="2800" b="0" i="0" u="none" strike="noStrike">
              <a:solidFill>
                <a:srgbClr val="FF0000"/>
              </a:solidFill>
              <a:latin typeface="Wingdings"/>
              <a:cs typeface="Times New Roman"/>
            </a:rPr>
            <a:pPr algn="ctr"/>
            <a:t> </a:t>
          </a:fld>
          <a:endParaRPr lang="pt-BR" sz="28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487137</xdr:colOff>
      <xdr:row>4</xdr:row>
      <xdr:rowOff>136072</xdr:rowOff>
    </xdr:from>
    <xdr:to>
      <xdr:col>9</xdr:col>
      <xdr:colOff>148319</xdr:colOff>
      <xdr:row>6</xdr:row>
      <xdr:rowOff>47626</xdr:rowOff>
    </xdr:to>
    <xdr:sp macro="" textlink="$G$4">
      <xdr:nvSpPr>
        <xdr:cNvPr id="20" name="CaixaDeTexto 19">
          <a:extLst>
            <a:ext uri="{FF2B5EF4-FFF2-40B4-BE49-F238E27FC236}">
              <a16:creationId xmlns:a16="http://schemas.microsoft.com/office/drawing/2014/main" id="{9211598F-6ECB-43BD-8870-8F57AB5C1826}"/>
            </a:ext>
          </a:extLst>
        </xdr:cNvPr>
        <xdr:cNvSpPr txBox="1"/>
      </xdr:nvSpPr>
      <xdr:spPr>
        <a:xfrm>
          <a:off x="3623583" y="898072"/>
          <a:ext cx="273504" cy="2925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61824F-3AB6-416F-BF06-B12042138725}" type="TxLink">
            <a:rPr lang="en-US" sz="2800" b="0" i="0" u="none" strike="noStrike">
              <a:solidFill>
                <a:schemeClr val="bg1">
                  <a:lumMod val="50000"/>
                </a:schemeClr>
              </a:solidFill>
              <a:latin typeface="Wingdings"/>
              <a:cs typeface="Times New Roman"/>
            </a:rPr>
            <a:pPr algn="ctr"/>
            <a:t>l</a:t>
          </a:fld>
          <a:endParaRPr lang="pt-BR" sz="28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493940</xdr:colOff>
      <xdr:row>0</xdr:row>
      <xdr:rowOff>68035</xdr:rowOff>
    </xdr:from>
    <xdr:to>
      <xdr:col>9</xdr:col>
      <xdr:colOff>155122</xdr:colOff>
      <xdr:row>1</xdr:row>
      <xdr:rowOff>170089</xdr:rowOff>
    </xdr:to>
    <xdr:sp macro="" textlink="$G$1">
      <xdr:nvSpPr>
        <xdr:cNvPr id="21" name="CaixaDeTexto 20">
          <a:extLst>
            <a:ext uri="{FF2B5EF4-FFF2-40B4-BE49-F238E27FC236}">
              <a16:creationId xmlns:a16="http://schemas.microsoft.com/office/drawing/2014/main" id="{E1E34292-CC88-439A-A4F6-C7BA301547EB}"/>
            </a:ext>
          </a:extLst>
        </xdr:cNvPr>
        <xdr:cNvSpPr txBox="1"/>
      </xdr:nvSpPr>
      <xdr:spPr>
        <a:xfrm>
          <a:off x="3630386" y="68035"/>
          <a:ext cx="273504" cy="2925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98E18E3-2B58-4FE6-ABB9-56797695C4BE}" type="TxLink">
            <a:rPr lang="en-US" sz="2800" b="0" i="0" u="none" strike="noStrike">
              <a:solidFill>
                <a:srgbClr val="00B050"/>
              </a:solidFill>
              <a:latin typeface="Wingdings" panose="05000000000000000000" pitchFamily="2" charset="2"/>
              <a:cs typeface="Times New Roman"/>
            </a:rPr>
            <a:pPr algn="ctr"/>
            <a:t> </a:t>
          </a:fld>
          <a:endParaRPr lang="pt-BR" sz="2800">
            <a:solidFill>
              <a:srgbClr val="00B050"/>
            </a:solidFill>
            <a:latin typeface="Wingdings" panose="05000000000000000000" pitchFamily="2" charset="2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19050</xdr:rowOff>
        </xdr:from>
        <xdr:to>
          <xdr:col>8</xdr:col>
          <xdr:colOff>438150</xdr:colOff>
          <xdr:row>0</xdr:row>
          <xdr:rowOff>276225</xdr:rowOff>
        </xdr:to>
        <xdr:sp macro="" textlink="">
          <xdr:nvSpPr>
            <xdr:cNvPr id="41985" name="Scroll Bar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C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148166</xdr:colOff>
      <xdr:row>0</xdr:row>
      <xdr:rowOff>42333</xdr:rowOff>
    </xdr:from>
    <xdr:to>
      <xdr:col>21</xdr:col>
      <xdr:colOff>211666</xdr:colOff>
      <xdr:row>20</xdr:row>
      <xdr:rowOff>105833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A1:L18"/>
  <sheetViews>
    <sheetView tabSelected="1" zoomScale="110" zoomScaleNormal="110" workbookViewId="0">
      <selection activeCell="D19" sqref="D19"/>
    </sheetView>
  </sheetViews>
  <sheetFormatPr defaultRowHeight="15" x14ac:dyDescent="0.25"/>
  <cols>
    <col min="1" max="1" width="14.28515625" bestFit="1" customWidth="1"/>
    <col min="2" max="3" width="12.140625" style="1" bestFit="1" customWidth="1"/>
    <col min="4" max="4" width="11.5703125" bestFit="1" customWidth="1"/>
    <col min="5" max="5" width="52.28515625" bestFit="1" customWidth="1"/>
    <col min="6" max="6" width="5.7109375" customWidth="1"/>
    <col min="7" max="9" width="4.28515625" customWidth="1"/>
    <col min="10" max="11" width="3.42578125" customWidth="1"/>
    <col min="12" max="12" width="7.28515625" customWidth="1"/>
    <col min="13" max="13" width="9.140625" customWidth="1"/>
  </cols>
  <sheetData>
    <row r="1" spans="1:12" ht="26.25" x14ac:dyDescent="0.4">
      <c r="A1" s="100" t="s">
        <v>28</v>
      </c>
      <c r="B1" s="101"/>
      <c r="C1" s="101"/>
      <c r="D1" s="102"/>
      <c r="E1" s="103">
        <v>2</v>
      </c>
      <c r="J1" s="2">
        <v>1</v>
      </c>
      <c r="K1" s="48" t="s">
        <v>59</v>
      </c>
      <c r="L1" s="2" t="s">
        <v>3</v>
      </c>
    </row>
    <row r="2" spans="1:12" x14ac:dyDescent="0.25">
      <c r="A2" s="75"/>
      <c r="B2" s="75"/>
      <c r="C2" s="75"/>
      <c r="D2" s="75"/>
      <c r="J2" s="2">
        <v>2</v>
      </c>
      <c r="K2" s="70" t="s">
        <v>70</v>
      </c>
      <c r="L2" s="2" t="s">
        <v>5</v>
      </c>
    </row>
    <row r="3" spans="1:12" ht="37.5" x14ac:dyDescent="0.25">
      <c r="A3" s="10" t="s">
        <v>0</v>
      </c>
      <c r="B3" s="11" t="s">
        <v>25</v>
      </c>
      <c r="C3" s="11" t="s">
        <v>26</v>
      </c>
      <c r="D3" s="10" t="s">
        <v>27</v>
      </c>
      <c r="E3" s="10" t="s">
        <v>9</v>
      </c>
      <c r="J3" s="2">
        <v>3</v>
      </c>
      <c r="K3" s="48" t="s">
        <v>62</v>
      </c>
      <c r="L3" s="2" t="s">
        <v>4</v>
      </c>
    </row>
    <row r="4" spans="1:12" ht="15.75" x14ac:dyDescent="0.25">
      <c r="A4" s="4" t="s">
        <v>3</v>
      </c>
      <c r="B4" s="16">
        <v>0.22500000000000001</v>
      </c>
      <c r="C4" s="16">
        <v>0.14899999999999999</v>
      </c>
      <c r="D4" s="6">
        <v>20</v>
      </c>
      <c r="E4" s="29" t="str">
        <f>IF($E$1=$J$1,REPT($K$1,D4),IF($E$1=$J$2,REPT($K$2,D4),IF($E$1=$J$3,REPT($K$3,D4),REPT($K$4,D4))))</f>
        <v>!!!!!!!!!!!!!!!!!!!!</v>
      </c>
      <c r="J4" s="2"/>
      <c r="K4" s="48" t="s">
        <v>61</v>
      </c>
      <c r="L4" s="2" t="s">
        <v>2</v>
      </c>
    </row>
    <row r="5" spans="1:12" ht="15.75" x14ac:dyDescent="0.25">
      <c r="A5" s="4" t="s">
        <v>5</v>
      </c>
      <c r="B5" s="16">
        <v>0.16500000000000001</v>
      </c>
      <c r="C5" s="16">
        <v>0.35499999999999998</v>
      </c>
      <c r="D5" s="6">
        <v>55</v>
      </c>
      <c r="E5" s="29" t="str">
        <f t="shared" ref="E5:E11" si="0">IF($E$1=$J$1,REPT($K$1,D5),IF($E$1=$J$2,REPT($K$2,D5),IF($E$1=$J$3,REPT($K$3,D5),REPT($K$4,D5))))</f>
        <v>!!!!!!!!!!!!!!!!!!!!!!!!!!!!!!!!!!!!!!!!!!!!!!!!!!!!!!!</v>
      </c>
    </row>
    <row r="6" spans="1:12" ht="15.75" x14ac:dyDescent="0.25">
      <c r="A6" s="4" t="s">
        <v>4</v>
      </c>
      <c r="B6" s="16">
        <v>0.23</v>
      </c>
      <c r="C6" s="16">
        <v>0.28699999999999998</v>
      </c>
      <c r="D6" s="6">
        <v>12</v>
      </c>
      <c r="E6" s="29" t="str">
        <f t="shared" si="0"/>
        <v>!!!!!!!!!!!!</v>
      </c>
    </row>
    <row r="7" spans="1:12" ht="15.75" x14ac:dyDescent="0.25">
      <c r="A7" s="4" t="s">
        <v>2</v>
      </c>
      <c r="B7" s="16">
        <v>0.38</v>
      </c>
      <c r="C7" s="16">
        <v>0.20899999999999999</v>
      </c>
      <c r="D7" s="6">
        <v>51</v>
      </c>
      <c r="E7" s="29" t="str">
        <f t="shared" si="0"/>
        <v>!!!!!!!!!!!!!!!!!!!!!!!!!!!!!!!!!!!!!!!!!!!!!!!!!!!</v>
      </c>
    </row>
    <row r="8" spans="1:12" ht="15.75" x14ac:dyDescent="0.25">
      <c r="A8" s="4" t="s">
        <v>3</v>
      </c>
      <c r="B8" s="16">
        <v>0.22500000000000001</v>
      </c>
      <c r="C8" s="16">
        <v>0.14899999999999999</v>
      </c>
      <c r="D8" s="6">
        <v>2</v>
      </c>
      <c r="E8" s="29" t="str">
        <f t="shared" si="0"/>
        <v>!!</v>
      </c>
    </row>
    <row r="9" spans="1:12" ht="15.75" x14ac:dyDescent="0.25">
      <c r="A9" s="4" t="s">
        <v>5</v>
      </c>
      <c r="B9" s="16">
        <v>0.16500000000000001</v>
      </c>
      <c r="C9" s="16">
        <v>0.35499999999999998</v>
      </c>
      <c r="D9" s="6">
        <v>10</v>
      </c>
      <c r="E9" s="29" t="str">
        <f t="shared" si="0"/>
        <v>!!!!!!!!!!</v>
      </c>
    </row>
    <row r="10" spans="1:12" ht="15.75" x14ac:dyDescent="0.25">
      <c r="A10" s="4" t="s">
        <v>4</v>
      </c>
      <c r="B10" s="16">
        <v>0.23</v>
      </c>
      <c r="C10" s="16">
        <v>0.28699999999999998</v>
      </c>
      <c r="D10" s="6">
        <v>1</v>
      </c>
      <c r="E10" s="29" t="str">
        <f t="shared" si="0"/>
        <v>!</v>
      </c>
    </row>
    <row r="11" spans="1:12" ht="15.75" x14ac:dyDescent="0.25">
      <c r="A11" s="4" t="s">
        <v>2</v>
      </c>
      <c r="B11" s="16">
        <v>0.38</v>
      </c>
      <c r="C11" s="16">
        <v>0.20899999999999999</v>
      </c>
      <c r="D11" s="6">
        <v>5</v>
      </c>
      <c r="E11" s="29" t="str">
        <f t="shared" si="0"/>
        <v>!!!!!</v>
      </c>
    </row>
    <row r="13" spans="1:12" ht="15.75" hidden="1" x14ac:dyDescent="0.25">
      <c r="A13" s="57"/>
      <c r="B13" s="58" t="s">
        <v>63</v>
      </c>
      <c r="C13" s="50"/>
      <c r="D13" s="51"/>
      <c r="E13" s="52"/>
    </row>
    <row r="14" spans="1:12" ht="15.75" hidden="1" x14ac:dyDescent="0.25">
      <c r="A14" s="76" t="s">
        <v>64</v>
      </c>
      <c r="B14" s="59" t="s">
        <v>65</v>
      </c>
      <c r="C14" s="49"/>
      <c r="D14" s="27"/>
      <c r="E14" s="53"/>
    </row>
    <row r="15" spans="1:12" ht="15.75" hidden="1" x14ac:dyDescent="0.25">
      <c r="A15" s="76"/>
      <c r="B15" s="59" t="s">
        <v>66</v>
      </c>
      <c r="C15" s="49"/>
      <c r="D15" s="27"/>
      <c r="E15" s="53"/>
    </row>
    <row r="16" spans="1:12" ht="16.5" hidden="1" thickBot="1" x14ac:dyDescent="0.3">
      <c r="A16" s="77"/>
      <c r="B16" s="60" t="s">
        <v>67</v>
      </c>
      <c r="C16" s="54"/>
      <c r="D16" s="55"/>
      <c r="E16" s="56"/>
    </row>
    <row r="17" spans="1:1" hidden="1" x14ac:dyDescent="0.25">
      <c r="A17" s="28"/>
    </row>
    <row r="18" spans="1:1" x14ac:dyDescent="0.25">
      <c r="A18" s="28"/>
    </row>
  </sheetData>
  <mergeCells count="3">
    <mergeCell ref="A1:D1"/>
    <mergeCell ref="A2:D2"/>
    <mergeCell ref="A14: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Drop Down 1">
              <controlPr defaultSize="0" autoLine="0" autoPict="0">
                <anchor moveWithCells="1">
                  <from>
                    <xdr:col>4</xdr:col>
                    <xdr:colOff>1457325</xdr:colOff>
                    <xdr:row>0</xdr:row>
                    <xdr:rowOff>9525</xdr:rowOff>
                  </from>
                  <to>
                    <xdr:col>4</xdr:col>
                    <xdr:colOff>3962400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5EFE810-414F-48A2-99FC-FBE04E0295C4}">
            <xm:f>NOT(ISERROR(SEARCH($K$4,E4)))</xm:f>
            <xm:f>$K$4</xm:f>
            <x14:dxf>
              <font>
                <color rgb="FFFFC000"/>
              </font>
            </x14:dxf>
          </x14:cfRule>
          <x14:cfRule type="containsText" priority="2" operator="containsText" id="{DFC6A1D7-6473-4AA1-B48C-4E99B76337CA}">
            <xm:f>NOT(ISERROR(SEARCH($K$3,E4)))</xm:f>
            <xm:f>$K$3</xm:f>
            <x14:dxf>
              <font>
                <color rgb="FFC00000"/>
              </font>
            </x14:dxf>
          </x14:cfRule>
          <x14:cfRule type="containsText" priority="3" operator="containsText" id="{7A494434-17CF-41A8-81FE-CCEDE320987E}">
            <xm:f>NOT(ISERROR(SEARCH($K$2,E4)))</xm:f>
            <xm:f>$K$2</xm:f>
            <x14:dxf>
              <font>
                <color theme="8" tint="-0.24994659260841701"/>
              </font>
            </x14:dxf>
          </x14:cfRule>
          <x14:cfRule type="containsText" priority="4" operator="containsText" id="{49F97533-0012-4AEB-85A3-D3F4359CB46E}">
            <xm:f>NOT(ISERROR(SEARCH($K$1,E4)))</xm:f>
            <xm:f>$K$1</xm:f>
            <x14:dxf>
              <font>
                <color theme="9" tint="-0.24994659260841701"/>
              </font>
            </x14:dxf>
          </x14:cfRule>
          <xm:sqref>E4:E11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C000"/>
  </sheetPr>
  <dimension ref="A1:J22"/>
  <sheetViews>
    <sheetView zoomScale="80" zoomScaleNormal="80" workbookViewId="0">
      <selection activeCell="M7" sqref="M7"/>
    </sheetView>
  </sheetViews>
  <sheetFormatPr defaultRowHeight="15" x14ac:dyDescent="0.25"/>
  <cols>
    <col min="1" max="1" width="25.28515625" bestFit="1" customWidth="1"/>
    <col min="2" max="2" width="18.28515625" style="1" bestFit="1" customWidth="1"/>
    <col min="3" max="3" width="15.42578125" style="1" bestFit="1" customWidth="1"/>
    <col min="4" max="4" width="15" bestFit="1" customWidth="1"/>
    <col min="5" max="5" width="12.7109375" style="1" bestFit="1" customWidth="1"/>
    <col min="6" max="6" width="23.140625" bestFit="1" customWidth="1"/>
    <col min="7" max="7" width="5.140625" customWidth="1"/>
    <col min="8" max="8" width="25.28515625" bestFit="1" customWidth="1"/>
    <col min="9" max="9" width="15.42578125" bestFit="1" customWidth="1"/>
    <col min="10" max="10" width="23.140625" bestFit="1" customWidth="1"/>
  </cols>
  <sheetData>
    <row r="1" spans="1:10" ht="26.25" x14ac:dyDescent="0.4">
      <c r="A1" s="79" t="s">
        <v>8</v>
      </c>
      <c r="B1" s="79"/>
      <c r="C1" s="79"/>
      <c r="D1" s="79"/>
      <c r="E1" s="79"/>
      <c r="F1" s="79"/>
      <c r="H1" s="32">
        <v>1</v>
      </c>
      <c r="I1" s="33" t="str">
        <f>CHOOSE(H1,H4,H5,H6,H7)</f>
        <v>TV</v>
      </c>
    </row>
    <row r="2" spans="1:10" x14ac:dyDescent="0.25">
      <c r="A2" s="78"/>
      <c r="B2" s="78"/>
      <c r="C2" s="78"/>
      <c r="D2" s="78"/>
      <c r="E2" s="78"/>
      <c r="F2" s="78"/>
    </row>
    <row r="3" spans="1:10" s="21" customFormat="1" ht="37.5" x14ac:dyDescent="0.25">
      <c r="A3" s="10" t="s">
        <v>0</v>
      </c>
      <c r="B3" s="11" t="s">
        <v>7</v>
      </c>
      <c r="C3" s="11" t="s">
        <v>1</v>
      </c>
      <c r="D3" s="10" t="s">
        <v>6</v>
      </c>
      <c r="E3" s="11" t="s">
        <v>11</v>
      </c>
      <c r="F3" s="10" t="s">
        <v>12</v>
      </c>
      <c r="H3" s="10" t="s">
        <v>0</v>
      </c>
      <c r="I3" s="11" t="s">
        <v>1</v>
      </c>
      <c r="J3" s="10" t="s">
        <v>12</v>
      </c>
    </row>
    <row r="4" spans="1:10" x14ac:dyDescent="0.25">
      <c r="A4" s="4" t="s">
        <v>2</v>
      </c>
      <c r="B4" s="5">
        <v>1200</v>
      </c>
      <c r="C4" s="6">
        <v>9</v>
      </c>
      <c r="D4" s="5">
        <f t="shared" ref="D4:D17" si="0">B4*C4</f>
        <v>10800</v>
      </c>
      <c r="E4" s="5">
        <f t="shared" ref="E4:E17" si="1">IF(B4&gt;=$B$20,B4+B4*$B$21,B4+B4*$B$22)</f>
        <v>1224</v>
      </c>
      <c r="F4" s="5">
        <f>E4*C4</f>
        <v>11016</v>
      </c>
      <c r="H4" s="4" t="s">
        <v>2</v>
      </c>
      <c r="I4" s="6">
        <f>IF(H4=$I$1,SUMIF($A$4:$A$17,H4,$C$4:$C$17),0)</f>
        <v>226</v>
      </c>
      <c r="J4" s="15">
        <f>IF(H4=$I$1,SUMIF($A$4:$A$17,H4,$F$4:$F$17),0)</f>
        <v>283968</v>
      </c>
    </row>
    <row r="5" spans="1:10" x14ac:dyDescent="0.25">
      <c r="A5" s="4" t="s">
        <v>3</v>
      </c>
      <c r="B5" s="5">
        <v>2200</v>
      </c>
      <c r="C5" s="6">
        <v>15</v>
      </c>
      <c r="D5" s="5">
        <f t="shared" si="0"/>
        <v>33000</v>
      </c>
      <c r="E5" s="5">
        <f t="shared" si="1"/>
        <v>2244</v>
      </c>
      <c r="F5" s="5">
        <f t="shared" ref="F5:F17" si="2">E5*C5</f>
        <v>33660</v>
      </c>
      <c r="H5" s="4" t="s">
        <v>3</v>
      </c>
      <c r="I5" s="6">
        <f>IF(H5=$I$1,SUMIF($A$4:$A$17,H5,$C$4:$C$17),0)</f>
        <v>0</v>
      </c>
      <c r="J5" s="15">
        <f>IF(H5=$I$1,SUMIF($A$4:$A$17,H5,$F$4:$F$17),0)</f>
        <v>0</v>
      </c>
    </row>
    <row r="6" spans="1:10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5">
        <f t="shared" si="1"/>
        <v>1428</v>
      </c>
      <c r="F6" s="5">
        <f t="shared" si="2"/>
        <v>144228</v>
      </c>
      <c r="H6" s="4" t="s">
        <v>4</v>
      </c>
      <c r="I6" s="6">
        <f>IF(H6=$I$1,SUMIF($A$4:$A$17,H6,$C$4:$C$17),0)</f>
        <v>0</v>
      </c>
      <c r="J6" s="15">
        <f>IF(H6=$I$1,SUMIF($A$4:$A$17,H6,$F$4:$F$17),0)</f>
        <v>0</v>
      </c>
    </row>
    <row r="7" spans="1:10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5">
        <f t="shared" si="1"/>
        <v>907.2</v>
      </c>
      <c r="F7" s="5">
        <f t="shared" si="2"/>
        <v>28123.200000000001</v>
      </c>
      <c r="H7" s="4" t="s">
        <v>5</v>
      </c>
      <c r="I7" s="6">
        <f>IF(H7=$I$1,SUMIF($A$4:$A$17,H7,$C$4:$C$17),0)</f>
        <v>0</v>
      </c>
      <c r="J7" s="15">
        <f>IF(H7=$I$1,SUMIF($A$4:$A$17,H7,$F$4:$F$17),0)</f>
        <v>0</v>
      </c>
    </row>
    <row r="8" spans="1:10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5">
        <f t="shared" si="1"/>
        <v>1224</v>
      </c>
      <c r="F8" s="5">
        <f t="shared" si="2"/>
        <v>9792</v>
      </c>
    </row>
    <row r="9" spans="1:10" x14ac:dyDescent="0.25">
      <c r="A9" s="4" t="s">
        <v>4</v>
      </c>
      <c r="B9" s="5">
        <v>1400</v>
      </c>
      <c r="C9" s="6">
        <v>101</v>
      </c>
      <c r="D9" s="5">
        <f>B9*C9</f>
        <v>141400</v>
      </c>
      <c r="E9" s="5">
        <f t="shared" si="1"/>
        <v>1428</v>
      </c>
      <c r="F9" s="5">
        <f>E9*C9</f>
        <v>144228</v>
      </c>
    </row>
    <row r="10" spans="1:10" x14ac:dyDescent="0.25">
      <c r="A10" s="4" t="s">
        <v>5</v>
      </c>
      <c r="B10" s="5">
        <v>1200</v>
      </c>
      <c r="C10" s="6">
        <v>31</v>
      </c>
      <c r="D10" s="5">
        <f>B10*C10</f>
        <v>37200</v>
      </c>
      <c r="E10" s="5">
        <f t="shared" si="1"/>
        <v>1224</v>
      </c>
      <c r="F10" s="5">
        <f>E10*C10</f>
        <v>37944</v>
      </c>
    </row>
    <row r="11" spans="1:10" x14ac:dyDescent="0.25">
      <c r="A11" s="4" t="s">
        <v>2</v>
      </c>
      <c r="B11" s="5">
        <v>2000</v>
      </c>
      <c r="C11" s="6">
        <v>9</v>
      </c>
      <c r="D11" s="5">
        <f>B11*C11</f>
        <v>18000</v>
      </c>
      <c r="E11" s="5">
        <f t="shared" si="1"/>
        <v>2040</v>
      </c>
      <c r="F11" s="5">
        <f>E11*C11</f>
        <v>18360</v>
      </c>
    </row>
    <row r="12" spans="1:10" x14ac:dyDescent="0.25">
      <c r="A12" s="4" t="s">
        <v>5</v>
      </c>
      <c r="B12" s="5">
        <v>900</v>
      </c>
      <c r="C12" s="6">
        <v>31</v>
      </c>
      <c r="D12" s="5">
        <f>B12*C12</f>
        <v>27900</v>
      </c>
      <c r="E12" s="5">
        <f t="shared" si="1"/>
        <v>907.2</v>
      </c>
      <c r="F12" s="5">
        <f>E12*C12</f>
        <v>28123.200000000001</v>
      </c>
    </row>
    <row r="13" spans="1:10" x14ac:dyDescent="0.25">
      <c r="A13" s="4" t="s">
        <v>3</v>
      </c>
      <c r="B13" s="5">
        <v>2200</v>
      </c>
      <c r="C13" s="6">
        <v>120</v>
      </c>
      <c r="D13" s="5">
        <f t="shared" si="0"/>
        <v>264000</v>
      </c>
      <c r="E13" s="5">
        <f t="shared" si="1"/>
        <v>2244</v>
      </c>
      <c r="F13" s="5">
        <f t="shared" si="2"/>
        <v>269280</v>
      </c>
    </row>
    <row r="14" spans="1:10" x14ac:dyDescent="0.25">
      <c r="A14" s="4" t="s">
        <v>4</v>
      </c>
      <c r="B14" s="5">
        <v>1400</v>
      </c>
      <c r="C14" s="6">
        <v>12</v>
      </c>
      <c r="D14" s="5">
        <f t="shared" si="0"/>
        <v>16800</v>
      </c>
      <c r="E14" s="5">
        <f t="shared" si="1"/>
        <v>1428</v>
      </c>
      <c r="F14" s="5">
        <f t="shared" si="2"/>
        <v>17136</v>
      </c>
    </row>
    <row r="15" spans="1:10" x14ac:dyDescent="0.25">
      <c r="A15" s="4" t="s">
        <v>5</v>
      </c>
      <c r="B15" s="5">
        <v>900</v>
      </c>
      <c r="C15" s="6">
        <v>55</v>
      </c>
      <c r="D15" s="5">
        <f t="shared" si="0"/>
        <v>49500</v>
      </c>
      <c r="E15" s="5">
        <f t="shared" si="1"/>
        <v>907.2</v>
      </c>
      <c r="F15" s="5">
        <f t="shared" si="2"/>
        <v>49896</v>
      </c>
    </row>
    <row r="16" spans="1:10" x14ac:dyDescent="0.25">
      <c r="A16" s="4" t="s">
        <v>2</v>
      </c>
      <c r="B16" s="5">
        <v>1200</v>
      </c>
      <c r="C16" s="6">
        <v>200</v>
      </c>
      <c r="D16" s="5">
        <f t="shared" si="0"/>
        <v>240000</v>
      </c>
      <c r="E16" s="5">
        <f t="shared" si="1"/>
        <v>1224</v>
      </c>
      <c r="F16" s="5">
        <f t="shared" si="2"/>
        <v>244800</v>
      </c>
      <c r="H16" s="7"/>
    </row>
    <row r="17" spans="1:9" x14ac:dyDescent="0.25">
      <c r="A17" s="4" t="s">
        <v>3</v>
      </c>
      <c r="B17" s="5">
        <v>2200</v>
      </c>
      <c r="C17" s="6">
        <v>30</v>
      </c>
      <c r="D17" s="5">
        <f t="shared" si="0"/>
        <v>66000</v>
      </c>
      <c r="E17" s="5">
        <f t="shared" si="1"/>
        <v>2244</v>
      </c>
      <c r="F17" s="5">
        <f t="shared" si="2"/>
        <v>67320</v>
      </c>
      <c r="I17" s="7"/>
    </row>
    <row r="19" spans="1:9" hidden="1" x14ac:dyDescent="0.25">
      <c r="A19" s="2" t="s">
        <v>1</v>
      </c>
      <c r="B19" s="3" t="s">
        <v>10</v>
      </c>
    </row>
    <row r="20" spans="1:9" hidden="1" x14ac:dyDescent="0.25">
      <c r="A20" s="2">
        <v>100</v>
      </c>
      <c r="B20" s="3">
        <v>1000</v>
      </c>
    </row>
    <row r="21" spans="1:9" hidden="1" x14ac:dyDescent="0.25">
      <c r="A21" s="2">
        <v>50</v>
      </c>
      <c r="B21" s="13">
        <v>0.02</v>
      </c>
    </row>
    <row r="22" spans="1:9" hidden="1" x14ac:dyDescent="0.25">
      <c r="A22" s="2"/>
      <c r="B22" s="14">
        <v>8.0000000000000002E-3</v>
      </c>
    </row>
  </sheetData>
  <mergeCells count="2">
    <mergeCell ref="A2:F2"/>
    <mergeCell ref="A1:F1"/>
  </mergeCells>
  <conditionalFormatting sqref="E4:E8 E13:E17">
    <cfRule type="cellIs" dxfId="13" priority="5" operator="equal">
      <formula>"I"</formula>
    </cfRule>
    <cfRule type="cellIs" dxfId="12" priority="9" operator="equal">
      <formula>$A$13</formula>
    </cfRule>
  </conditionalFormatting>
  <conditionalFormatting sqref="E9:E11">
    <cfRule type="cellIs" dxfId="11" priority="3" operator="equal">
      <formula>"I"</formula>
    </cfRule>
    <cfRule type="cellIs" dxfId="10" priority="4" operator="equal">
      <formula>$A$13</formula>
    </cfRule>
  </conditionalFormatting>
  <conditionalFormatting sqref="E12">
    <cfRule type="cellIs" dxfId="9" priority="1" operator="equal">
      <formula>"I"</formula>
    </cfRule>
    <cfRule type="cellIs" dxfId="8" priority="2" operator="equal">
      <formula>$A$13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Spinner 3">
              <controlPr defaultSize="0" autoPict="0">
                <anchor moveWithCells="1" sizeWithCells="1">
                  <from>
                    <xdr:col>10</xdr:col>
                    <xdr:colOff>123825</xdr:colOff>
                    <xdr:row>2</xdr:row>
                    <xdr:rowOff>0</xdr:rowOff>
                  </from>
                  <to>
                    <xdr:col>10</xdr:col>
                    <xdr:colOff>523875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3"/>
  <dimension ref="A1:L17"/>
  <sheetViews>
    <sheetView zoomScale="110" zoomScaleNormal="110" workbookViewId="0">
      <selection activeCell="G11" sqref="G11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4" width="7.42578125" style="1" bestFit="1" customWidth="1"/>
    <col min="5" max="5" width="5.28515625" customWidth="1"/>
    <col min="6" max="6" width="9.7109375" customWidth="1"/>
    <col min="7" max="7" width="11.42578125" customWidth="1"/>
    <col min="8" max="8" width="8.140625" bestFit="1" customWidth="1"/>
    <col min="17" max="17" width="11.85546875" customWidth="1"/>
  </cols>
  <sheetData>
    <row r="1" spans="1:12" ht="21" x14ac:dyDescent="0.25">
      <c r="A1" s="106" t="s">
        <v>16</v>
      </c>
      <c r="B1" s="106"/>
      <c r="C1" s="106"/>
      <c r="D1" s="106"/>
      <c r="F1" s="104" t="s">
        <v>39</v>
      </c>
      <c r="G1" s="25">
        <v>4</v>
      </c>
      <c r="H1" s="105" t="s">
        <v>38</v>
      </c>
      <c r="I1" s="25" t="str">
        <f>CHOOSE(G1,L1,L2,L3,L4)</f>
        <v>TV</v>
      </c>
      <c r="L1" s="4" t="s">
        <v>3</v>
      </c>
    </row>
    <row r="2" spans="1:12" s="9" customFormat="1" ht="30" x14ac:dyDescent="0.25">
      <c r="A2" s="8" t="s">
        <v>0</v>
      </c>
      <c r="B2" s="8" t="s">
        <v>31</v>
      </c>
      <c r="C2" s="8" t="s">
        <v>32</v>
      </c>
      <c r="D2" s="8" t="s">
        <v>33</v>
      </c>
      <c r="F2" s="8" t="s">
        <v>31</v>
      </c>
      <c r="G2" s="8" t="s">
        <v>34</v>
      </c>
      <c r="H2" s="8" t="s">
        <v>35</v>
      </c>
      <c r="I2" s="8" t="s">
        <v>17</v>
      </c>
      <c r="L2" s="4" t="s">
        <v>5</v>
      </c>
    </row>
    <row r="3" spans="1:12" x14ac:dyDescent="0.25">
      <c r="A3" s="4" t="s">
        <v>3</v>
      </c>
      <c r="B3" s="4" t="s">
        <v>29</v>
      </c>
      <c r="C3" s="6">
        <v>340</v>
      </c>
      <c r="D3" s="6">
        <v>300</v>
      </c>
      <c r="F3" s="4" t="s">
        <v>29</v>
      </c>
      <c r="G3" s="19">
        <f>SUMIFS($C$3:$C$16,$B$3:$B$16,$F3,$A$3:$A$16,$I$1)</f>
        <v>200</v>
      </c>
      <c r="H3" s="19">
        <f>SUMIFS(D3:D16,$B$3:$B$16,$F3,$A$3:$A$16,$I$1)</f>
        <v>543</v>
      </c>
      <c r="I3" s="19">
        <f>SUM(G3:H3)</f>
        <v>743</v>
      </c>
      <c r="L3" s="4" t="s">
        <v>4</v>
      </c>
    </row>
    <row r="4" spans="1:12" x14ac:dyDescent="0.25">
      <c r="A4" s="4" t="s">
        <v>3</v>
      </c>
      <c r="B4" s="4" t="s">
        <v>30</v>
      </c>
      <c r="C4" s="6">
        <v>890</v>
      </c>
      <c r="D4" s="6">
        <v>257</v>
      </c>
      <c r="F4" s="4" t="s">
        <v>30</v>
      </c>
      <c r="G4" s="19">
        <f>SUMIFS($C$3:$C$16,$B$3:$B$16,$F4,$A$3:$A$16,$I$1)</f>
        <v>600</v>
      </c>
      <c r="H4" s="19">
        <f>SUMIFS(D4:D17,$B$3:$B$16,$F4,$A$3:$A$16,$I$1)</f>
        <v>471</v>
      </c>
      <c r="I4" s="19">
        <f>SUM(G4:H4)</f>
        <v>1071</v>
      </c>
      <c r="L4" s="4" t="s">
        <v>2</v>
      </c>
    </row>
    <row r="5" spans="1:12" x14ac:dyDescent="0.25">
      <c r="A5" s="4" t="s">
        <v>3</v>
      </c>
      <c r="B5" s="4" t="s">
        <v>36</v>
      </c>
      <c r="C5" s="6">
        <v>350</v>
      </c>
      <c r="D5" s="6">
        <v>189</v>
      </c>
      <c r="F5" s="4" t="s">
        <v>36</v>
      </c>
      <c r="G5" s="19">
        <f>SUMIFS($C$3:$C$16,$B$3:$B$16,$F5,$A$3:$A$16,$I$1)</f>
        <v>420</v>
      </c>
      <c r="H5" s="19">
        <f>SUMIFS(D5:D18,$B$3:$B$16,$F5,$A$3:$A$16,$I$1)</f>
        <v>0</v>
      </c>
      <c r="I5" s="19">
        <f>SUM(G5:H5)</f>
        <v>420</v>
      </c>
    </row>
    <row r="6" spans="1:12" x14ac:dyDescent="0.25">
      <c r="A6" s="4" t="s">
        <v>3</v>
      </c>
      <c r="B6" s="4" t="s">
        <v>37</v>
      </c>
      <c r="C6" s="6">
        <v>230</v>
      </c>
      <c r="D6" s="6">
        <v>399</v>
      </c>
      <c r="F6" s="4" t="s">
        <v>37</v>
      </c>
      <c r="G6" s="19">
        <f>SUMIFS($C$3:$C$16,$B$3:$B$16,$F6,$A$3:$A$16,$I$1)</f>
        <v>400</v>
      </c>
      <c r="H6" s="19">
        <f>SUMIFS(D6:D19,$B$3:$B$16,$F6,$A$3:$A$16,$I$1)</f>
        <v>471</v>
      </c>
      <c r="I6" s="19">
        <f>SUM(G6:H6)</f>
        <v>871</v>
      </c>
    </row>
    <row r="7" spans="1:12" x14ac:dyDescent="0.25">
      <c r="A7" s="4" t="s">
        <v>5</v>
      </c>
      <c r="B7" s="4" t="s">
        <v>29</v>
      </c>
      <c r="C7" s="6">
        <v>340</v>
      </c>
      <c r="D7" s="6">
        <v>400</v>
      </c>
    </row>
    <row r="8" spans="1:12" x14ac:dyDescent="0.25">
      <c r="A8" s="4" t="s">
        <v>5</v>
      </c>
      <c r="B8" s="4" t="s">
        <v>30</v>
      </c>
      <c r="C8" s="6">
        <v>300</v>
      </c>
      <c r="D8" s="6">
        <v>431</v>
      </c>
    </row>
    <row r="9" spans="1:12" x14ac:dyDescent="0.25">
      <c r="A9" s="4" t="s">
        <v>4</v>
      </c>
      <c r="B9" s="4" t="s">
        <v>29</v>
      </c>
      <c r="C9" s="6">
        <v>457</v>
      </c>
      <c r="D9" s="6">
        <v>423</v>
      </c>
    </row>
    <row r="10" spans="1:12" x14ac:dyDescent="0.25">
      <c r="A10" s="4" t="s">
        <v>4</v>
      </c>
      <c r="B10" s="4" t="s">
        <v>30</v>
      </c>
      <c r="C10" s="6">
        <v>290</v>
      </c>
      <c r="D10" s="6">
        <v>368</v>
      </c>
    </row>
    <row r="11" spans="1:12" x14ac:dyDescent="0.25">
      <c r="A11" s="4" t="s">
        <v>4</v>
      </c>
      <c r="B11" s="4" t="s">
        <v>36</v>
      </c>
      <c r="C11" s="6">
        <v>350</v>
      </c>
      <c r="D11" s="6">
        <v>321</v>
      </c>
    </row>
    <row r="12" spans="1:12" x14ac:dyDescent="0.25">
      <c r="A12" s="4" t="s">
        <v>4</v>
      </c>
      <c r="B12" s="4" t="s">
        <v>37</v>
      </c>
      <c r="C12" s="6">
        <v>199</v>
      </c>
      <c r="D12" s="6">
        <v>276</v>
      </c>
    </row>
    <row r="13" spans="1:12" x14ac:dyDescent="0.25">
      <c r="A13" s="4" t="s">
        <v>2</v>
      </c>
      <c r="B13" s="4" t="s">
        <v>37</v>
      </c>
      <c r="C13" s="6">
        <v>400</v>
      </c>
      <c r="D13" s="6">
        <v>543</v>
      </c>
    </row>
    <row r="14" spans="1:12" x14ac:dyDescent="0.25">
      <c r="A14" s="4" t="s">
        <v>2</v>
      </c>
      <c r="B14" s="4" t="s">
        <v>29</v>
      </c>
      <c r="C14" s="6">
        <v>200</v>
      </c>
      <c r="D14" s="6">
        <v>543</v>
      </c>
    </row>
    <row r="15" spans="1:12" x14ac:dyDescent="0.25">
      <c r="A15" s="4" t="s">
        <v>2</v>
      </c>
      <c r="B15" s="4" t="s">
        <v>30</v>
      </c>
      <c r="C15" s="6">
        <v>600</v>
      </c>
      <c r="D15" s="6">
        <v>265</v>
      </c>
    </row>
    <row r="16" spans="1:12" x14ac:dyDescent="0.25">
      <c r="A16" s="4" t="s">
        <v>2</v>
      </c>
      <c r="B16" s="4" t="s">
        <v>36</v>
      </c>
      <c r="C16" s="6">
        <v>420</v>
      </c>
      <c r="D16" s="6">
        <v>471</v>
      </c>
    </row>
    <row r="17" spans="3:4" x14ac:dyDescent="0.25">
      <c r="C17" s="18"/>
      <c r="D17" s="18"/>
    </row>
  </sheetData>
  <sortState ref="A3:D16">
    <sortCondition ref="A2"/>
  </sortState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Scroll Bar 6">
              <controlPr defaultSize="0" autoPict="0">
                <anchor moveWithCells="1">
                  <from>
                    <xdr:col>6</xdr:col>
                    <xdr:colOff>38100</xdr:colOff>
                    <xdr:row>0</xdr:row>
                    <xdr:rowOff>28575</xdr:rowOff>
                  </from>
                  <to>
                    <xdr:col>6</xdr:col>
                    <xdr:colOff>838200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19"/>
  <sheetViews>
    <sheetView zoomScaleNormal="100" workbookViewId="0">
      <selection activeCell="H18" sqref="H18"/>
    </sheetView>
  </sheetViews>
  <sheetFormatPr defaultColWidth="10" defaultRowHeight="15" x14ac:dyDescent="0.25"/>
  <cols>
    <col min="1" max="1" width="11" bestFit="1" customWidth="1"/>
    <col min="2" max="2" width="6.28515625" bestFit="1" customWidth="1"/>
    <col min="3" max="4" width="7.42578125" style="1" bestFit="1" customWidth="1"/>
    <col min="5" max="5" width="5.28515625" customWidth="1"/>
    <col min="6" max="6" width="11" bestFit="1" customWidth="1"/>
    <col min="7" max="7" width="7.7109375" bestFit="1" customWidth="1"/>
    <col min="8" max="9" width="6" bestFit="1" customWidth="1"/>
    <col min="10" max="10" width="9.140625" customWidth="1"/>
  </cols>
  <sheetData>
    <row r="1" spans="1:22" ht="23.25" x14ac:dyDescent="0.25">
      <c r="A1" s="106" t="s">
        <v>16</v>
      </c>
      <c r="B1" s="106"/>
      <c r="C1" s="106"/>
      <c r="D1" s="106"/>
      <c r="F1" s="107" t="str">
        <f>CHOOSE(H1,F3,F4,F5,F6)</f>
        <v>TV</v>
      </c>
      <c r="G1" s="107" t="s">
        <v>40</v>
      </c>
      <c r="H1" s="108">
        <v>4</v>
      </c>
      <c r="I1" s="108"/>
      <c r="K1" s="71" t="str">
        <f>F1</f>
        <v>TV</v>
      </c>
      <c r="L1" s="71"/>
      <c r="M1" s="71"/>
      <c r="N1" s="71"/>
      <c r="O1" s="71"/>
      <c r="P1" s="71"/>
      <c r="Q1" s="71"/>
      <c r="R1" s="71"/>
      <c r="S1" s="71"/>
      <c r="T1" s="71"/>
      <c r="U1" s="71"/>
      <c r="V1" s="27"/>
    </row>
    <row r="2" spans="1:22" s="9" customFormat="1" ht="30" x14ac:dyDescent="0.25">
      <c r="A2" s="8" t="s">
        <v>0</v>
      </c>
      <c r="B2" s="8" t="s">
        <v>31</v>
      </c>
      <c r="C2" s="8" t="s">
        <v>32</v>
      </c>
      <c r="D2" s="8" t="s">
        <v>33</v>
      </c>
      <c r="F2" s="8" t="s">
        <v>0</v>
      </c>
      <c r="G2" s="8" t="s">
        <v>31</v>
      </c>
      <c r="H2" s="8" t="s">
        <v>34</v>
      </c>
      <c r="I2" s="8" t="s">
        <v>35</v>
      </c>
      <c r="J2" s="8" t="s">
        <v>71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</row>
    <row r="3" spans="1:22" x14ac:dyDescent="0.25">
      <c r="A3" s="4" t="s">
        <v>3</v>
      </c>
      <c r="B3" s="4" t="s">
        <v>29</v>
      </c>
      <c r="C3" s="6">
        <v>340</v>
      </c>
      <c r="D3" s="6">
        <v>300</v>
      </c>
      <c r="F3" s="4" t="s">
        <v>3</v>
      </c>
      <c r="G3" s="6" t="s">
        <v>29</v>
      </c>
      <c r="H3" s="19">
        <f>SUMIFS($C$3:$C$16,$A$3:$A$16,$F$1,$B$3:$B$16,G3)</f>
        <v>200</v>
      </c>
      <c r="I3" s="19">
        <f>SUMIFS($D$3:$D$16,$A$3:$A$16,$F$1,$B$3:$B$16,G3)</f>
        <v>543</v>
      </c>
      <c r="J3" s="4">
        <f>IF(F3=$F$1,SUM(H3:I3),0)</f>
        <v>0</v>
      </c>
    </row>
    <row r="4" spans="1:22" x14ac:dyDescent="0.25">
      <c r="A4" s="4" t="s">
        <v>3</v>
      </c>
      <c r="B4" s="4" t="s">
        <v>30</v>
      </c>
      <c r="C4" s="6">
        <v>890</v>
      </c>
      <c r="D4" s="6">
        <v>257</v>
      </c>
      <c r="F4" s="4" t="s">
        <v>5</v>
      </c>
      <c r="G4" s="6" t="s">
        <v>30</v>
      </c>
      <c r="H4" s="19">
        <f>SUMIFS($C$3:$C$16,$A$3:$A$16,$F$1,$B$3:$B$16,G4)</f>
        <v>600</v>
      </c>
      <c r="I4" s="19">
        <f>SUMIFS($D$3:$D$16,$A$3:$A$16,$F$1,$B$3:$B$16,G4)</f>
        <v>265</v>
      </c>
      <c r="J4" s="4">
        <f t="shared" ref="J4:J6" si="0">IF(F4=$F$1,SUM(H4:I4),0)</f>
        <v>0</v>
      </c>
    </row>
    <row r="5" spans="1:22" x14ac:dyDescent="0.25">
      <c r="A5" s="4" t="s">
        <v>3</v>
      </c>
      <c r="B5" s="4" t="s">
        <v>36</v>
      </c>
      <c r="C5" s="6">
        <v>350</v>
      </c>
      <c r="D5" s="6">
        <v>189</v>
      </c>
      <c r="F5" s="4" t="s">
        <v>4</v>
      </c>
      <c r="G5" s="6" t="s">
        <v>36</v>
      </c>
      <c r="H5" s="19">
        <f>SUMIFS($C$3:$C$16,$A$3:$A$16,$F$1,$B$3:$B$16,G5)</f>
        <v>420</v>
      </c>
      <c r="I5" s="19">
        <f>SUMIFS($D$3:$D$16,$A$3:$A$16,$F$1,$B$3:$B$16,G5)</f>
        <v>471</v>
      </c>
      <c r="J5" s="4">
        <f t="shared" si="0"/>
        <v>0</v>
      </c>
    </row>
    <row r="6" spans="1:22" x14ac:dyDescent="0.25">
      <c r="A6" s="4" t="s">
        <v>3</v>
      </c>
      <c r="B6" s="4" t="s">
        <v>37</v>
      </c>
      <c r="C6" s="6">
        <v>230</v>
      </c>
      <c r="D6" s="6">
        <v>399</v>
      </c>
      <c r="F6" s="4" t="s">
        <v>2</v>
      </c>
      <c r="G6" s="6" t="s">
        <v>37</v>
      </c>
      <c r="H6" s="19">
        <f>SUMIFS($C$3:$C$16,$A$3:$A$16,$F$1,$B$3:$B$16,G6)</f>
        <v>400</v>
      </c>
      <c r="I6" s="19">
        <f>SUMIFS($D$3:$D$16,$A$3:$A$16,$F$1,$B$3:$B$16,G6)</f>
        <v>543</v>
      </c>
      <c r="J6" s="4">
        <f t="shared" si="0"/>
        <v>943</v>
      </c>
    </row>
    <row r="7" spans="1:22" x14ac:dyDescent="0.25">
      <c r="A7" s="4" t="s">
        <v>5</v>
      </c>
      <c r="B7" s="4" t="s">
        <v>29</v>
      </c>
      <c r="C7" s="6">
        <v>340</v>
      </c>
      <c r="D7" s="6">
        <v>400</v>
      </c>
    </row>
    <row r="8" spans="1:22" x14ac:dyDescent="0.25">
      <c r="A8" s="4" t="s">
        <v>5</v>
      </c>
      <c r="B8" s="4" t="s">
        <v>30</v>
      </c>
      <c r="C8" s="6">
        <v>300</v>
      </c>
      <c r="D8" s="6">
        <v>431</v>
      </c>
      <c r="J8" s="18"/>
    </row>
    <row r="9" spans="1:22" x14ac:dyDescent="0.25">
      <c r="A9" s="4" t="s">
        <v>4</v>
      </c>
      <c r="B9" s="4" t="s">
        <v>29</v>
      </c>
      <c r="C9" s="6">
        <v>457</v>
      </c>
      <c r="D9" s="6">
        <v>423</v>
      </c>
    </row>
    <row r="10" spans="1:22" x14ac:dyDescent="0.25">
      <c r="A10" s="4" t="s">
        <v>4</v>
      </c>
      <c r="B10" s="4" t="s">
        <v>30</v>
      </c>
      <c r="C10" s="6">
        <v>290</v>
      </c>
      <c r="D10" s="6">
        <v>368</v>
      </c>
    </row>
    <row r="11" spans="1:22" x14ac:dyDescent="0.25">
      <c r="A11" s="4" t="s">
        <v>4</v>
      </c>
      <c r="B11" s="4" t="s">
        <v>36</v>
      </c>
      <c r="C11" s="6">
        <v>350</v>
      </c>
      <c r="D11" s="6">
        <v>321</v>
      </c>
    </row>
    <row r="12" spans="1:22" x14ac:dyDescent="0.25">
      <c r="A12" s="4" t="s">
        <v>4</v>
      </c>
      <c r="B12" s="4" t="s">
        <v>37</v>
      </c>
      <c r="C12" s="6">
        <v>199</v>
      </c>
      <c r="D12" s="6">
        <v>276</v>
      </c>
    </row>
    <row r="13" spans="1:22" x14ac:dyDescent="0.25">
      <c r="A13" s="4" t="s">
        <v>2</v>
      </c>
      <c r="B13" s="4" t="s">
        <v>37</v>
      </c>
      <c r="C13" s="6">
        <v>400</v>
      </c>
      <c r="D13" s="6">
        <v>543</v>
      </c>
    </row>
    <row r="14" spans="1:22" x14ac:dyDescent="0.25">
      <c r="A14" s="4" t="s">
        <v>2</v>
      </c>
      <c r="B14" s="4" t="s">
        <v>29</v>
      </c>
      <c r="C14" s="6">
        <v>200</v>
      </c>
      <c r="D14" s="6">
        <v>543</v>
      </c>
    </row>
    <row r="15" spans="1:22" x14ac:dyDescent="0.25">
      <c r="A15" s="4" t="s">
        <v>2</v>
      </c>
      <c r="B15" s="4" t="s">
        <v>30</v>
      </c>
      <c r="C15" s="6">
        <v>600</v>
      </c>
      <c r="D15" s="6">
        <v>265</v>
      </c>
    </row>
    <row r="16" spans="1:22" x14ac:dyDescent="0.25">
      <c r="A16" s="4" t="s">
        <v>2</v>
      </c>
      <c r="B16" s="4" t="s">
        <v>36</v>
      </c>
      <c r="C16" s="6">
        <v>420</v>
      </c>
      <c r="D16" s="6">
        <v>471</v>
      </c>
    </row>
    <row r="17" spans="1:4" x14ac:dyDescent="0.25">
      <c r="C17" s="18"/>
      <c r="D17" s="18"/>
    </row>
    <row r="19" spans="1:4" x14ac:dyDescent="0.25">
      <c r="A19" s="61"/>
    </row>
  </sheetData>
  <mergeCells count="2">
    <mergeCell ref="A1:D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Group Box 1">
              <controlPr defaultSize="0" autoFill="0" autoPict="0">
                <anchor moveWithCells="1">
                  <from>
                    <xdr:col>5</xdr:col>
                    <xdr:colOff>28575</xdr:colOff>
                    <xdr:row>6</xdr:row>
                    <xdr:rowOff>152400</xdr:rowOff>
                  </from>
                  <to>
                    <xdr:col>7</xdr:col>
                    <xdr:colOff>161925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5</xdr:col>
                    <xdr:colOff>171450</xdr:colOff>
                    <xdr:row>7</xdr:row>
                    <xdr:rowOff>114300</xdr:rowOff>
                  </from>
                  <to>
                    <xdr:col>6</xdr:col>
                    <xdr:colOff>457200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Option Button 3">
              <controlPr defaultSize="0" autoFill="0" autoLine="0" autoPict="0">
                <anchor moveWithCells="1">
                  <from>
                    <xdr:col>5</xdr:col>
                    <xdr:colOff>171450</xdr:colOff>
                    <xdr:row>8</xdr:row>
                    <xdr:rowOff>180975</xdr:rowOff>
                  </from>
                  <to>
                    <xdr:col>6</xdr:col>
                    <xdr:colOff>466725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Option Button 4">
              <controlPr defaultSize="0" autoFill="0" autoLine="0" autoPict="0">
                <anchor moveWithCells="1">
                  <from>
                    <xdr:col>5</xdr:col>
                    <xdr:colOff>171450</xdr:colOff>
                    <xdr:row>10</xdr:row>
                    <xdr:rowOff>57150</xdr:rowOff>
                  </from>
                  <to>
                    <xdr:col>6</xdr:col>
                    <xdr:colOff>457200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Option Button 5">
              <controlPr defaultSize="0" autoFill="0" autoLine="0" autoPict="0">
                <anchor moveWithCells="1">
                  <from>
                    <xdr:col>5</xdr:col>
                    <xdr:colOff>171450</xdr:colOff>
                    <xdr:row>11</xdr:row>
                    <xdr:rowOff>123825</xdr:rowOff>
                  </from>
                  <to>
                    <xdr:col>6</xdr:col>
                    <xdr:colOff>457200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4">
    <tabColor rgb="FF7030A0"/>
  </sheetPr>
  <dimension ref="A1:I6"/>
  <sheetViews>
    <sheetView zoomScaleNormal="100" workbookViewId="0">
      <selection activeCell="F5" sqref="F5"/>
    </sheetView>
  </sheetViews>
  <sheetFormatPr defaultColWidth="10" defaultRowHeight="15" x14ac:dyDescent="0.25"/>
  <cols>
    <col min="1" max="1" width="7.28515625" bestFit="1" customWidth="1"/>
    <col min="2" max="3" width="6.28515625" customWidth="1"/>
    <col min="4" max="4" width="9.5703125" bestFit="1" customWidth="1"/>
    <col min="5" max="5" width="9.5703125" customWidth="1"/>
    <col min="9" max="9" width="9.7109375" hidden="1" customWidth="1"/>
  </cols>
  <sheetData>
    <row r="1" spans="1:9" s="20" customFormat="1" x14ac:dyDescent="0.25">
      <c r="A1" s="109" t="str">
        <f>CHOOSE(C1,I2,I3,I4)</f>
        <v>Sumaré</v>
      </c>
      <c r="B1" s="110"/>
      <c r="C1" s="80">
        <v>2</v>
      </c>
      <c r="D1" s="81"/>
      <c r="E1" s="24"/>
    </row>
    <row r="2" spans="1:9" s="9" customFormat="1" x14ac:dyDescent="0.25">
      <c r="A2" s="23"/>
      <c r="B2" s="23" t="s">
        <v>13</v>
      </c>
      <c r="C2" s="23" t="s">
        <v>14</v>
      </c>
      <c r="D2" s="23" t="s">
        <v>15</v>
      </c>
      <c r="E2" s="23" t="s">
        <v>17</v>
      </c>
      <c r="I2" s="4" t="s">
        <v>42</v>
      </c>
    </row>
    <row r="3" spans="1:9" x14ac:dyDescent="0.25">
      <c r="A3" s="4" t="s">
        <v>3</v>
      </c>
      <c r="B3" s="4">
        <f>SUMIFS(Exempo4!C:C,Exempo4!$A:$A,$A3,Exempo4!$B:$B,$A$1)</f>
        <v>547</v>
      </c>
      <c r="C3" s="4">
        <f>SUMIFS(Exempo4!D:D,Exempo4!$A:$A,$A3,Exempo4!$B:$B,$A$1)</f>
        <v>557</v>
      </c>
      <c r="D3" s="4">
        <f>SUMIFS(Exempo4!E:E,Exempo4!$A:$A,$A3,Exempo4!$B:$B,$A$1)</f>
        <v>572</v>
      </c>
      <c r="E3" s="4">
        <f>SUM(B3:D3)</f>
        <v>1676</v>
      </c>
      <c r="I3" s="4" t="s">
        <v>43</v>
      </c>
    </row>
    <row r="4" spans="1:9" x14ac:dyDescent="0.25">
      <c r="A4" s="4" t="s">
        <v>5</v>
      </c>
      <c r="B4" s="4">
        <f>SUMIFS(Exempo4!C:C,Exempo4!$A:$A,$A4,Exempo4!$B:$B,$A$1)</f>
        <v>1122</v>
      </c>
      <c r="C4" s="4">
        <f>SUMIFS(Exempo4!D:D,Exempo4!$A:$A,$A4,Exempo4!$B:$B,$A$1)</f>
        <v>1142</v>
      </c>
      <c r="D4" s="4">
        <f>SUMIFS(Exempo4!E:E,Exempo4!$A:$A,$A4,Exempo4!$B:$B,$A$1)</f>
        <v>1172</v>
      </c>
      <c r="E4" s="4">
        <f>SUM(B4:D4)</f>
        <v>3436</v>
      </c>
      <c r="I4" s="4" t="s">
        <v>44</v>
      </c>
    </row>
    <row r="5" spans="1:9" x14ac:dyDescent="0.25">
      <c r="A5" s="4" t="s">
        <v>4</v>
      </c>
      <c r="B5" s="4">
        <f>SUMIFS(Exempo4!C:C,Exempo4!$A:$A,$A5,Exempo4!$B:$B,$A$1)</f>
        <v>1679</v>
      </c>
      <c r="C5" s="4">
        <f>SUMIFS(Exempo4!D:D,Exempo4!$A:$A,$A5,Exempo4!$B:$B,$A$1)</f>
        <v>1699</v>
      </c>
      <c r="D5" s="4">
        <f>SUMIFS(Exempo4!E:E,Exempo4!$A:$A,$A5,Exempo4!$B:$B,$A$1)</f>
        <v>1729</v>
      </c>
      <c r="E5" s="4">
        <f>SUM(B5:D5)</f>
        <v>5107</v>
      </c>
    </row>
    <row r="6" spans="1:9" x14ac:dyDescent="0.25">
      <c r="A6" s="4" t="s">
        <v>2</v>
      </c>
      <c r="B6" s="4">
        <f>SUMIFS(Exempo4!C:C,Exempo4!$A:$A,$A6,Exempo4!$B:$B,$A$1)</f>
        <v>900</v>
      </c>
      <c r="C6" s="4">
        <f>SUMIFS(Exempo4!D:D,Exempo4!$A:$A,$A6,Exempo4!$B:$B,$A$1)</f>
        <v>910</v>
      </c>
      <c r="D6" s="4">
        <f>SUMIFS(Exempo4!E:E,Exempo4!$A:$A,$A6,Exempo4!$B:$B,$A$1)</f>
        <v>925</v>
      </c>
      <c r="E6" s="4">
        <f>SUM(B6:D6)</f>
        <v>2735</v>
      </c>
    </row>
  </sheetData>
  <mergeCells count="2">
    <mergeCell ref="C1:D1"/>
    <mergeCell ref="A1:B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0" r:id="rId4" name="Group Box 16">
              <controlPr defaultSize="0" autoFill="0" autoPict="0">
                <anchor mov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7</xdr:col>
                    <xdr:colOff>152400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5" name="Option Button 17">
              <controlPr defaultSize="0" autoFill="0" autoLine="0" autoPict="0">
                <anchor moveWithCells="1">
                  <from>
                    <xdr:col>5</xdr:col>
                    <xdr:colOff>276225</xdr:colOff>
                    <xdr:row>1</xdr:row>
                    <xdr:rowOff>66675</xdr:rowOff>
                  </from>
                  <to>
                    <xdr:col>7</xdr:col>
                    <xdr:colOff>19050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6" name="Option Button 18">
              <controlPr defaultSize="0" autoFill="0" autoLine="0" autoPict="0">
                <anchor moveWithCells="1">
                  <from>
                    <xdr:col>5</xdr:col>
                    <xdr:colOff>276225</xdr:colOff>
                    <xdr:row>2</xdr:row>
                    <xdr:rowOff>171450</xdr:rowOff>
                  </from>
                  <to>
                    <xdr:col>7</xdr:col>
                    <xdr:colOff>19050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7" name="Option Button 19">
              <controlPr defaultSize="0" autoFill="0" autoLine="0" autoPict="0">
                <anchor moveWithCells="1">
                  <from>
                    <xdr:col>5</xdr:col>
                    <xdr:colOff>276225</xdr:colOff>
                    <xdr:row>4</xdr:row>
                    <xdr:rowOff>95250</xdr:rowOff>
                  </from>
                  <to>
                    <xdr:col>7</xdr:col>
                    <xdr:colOff>19050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7030A0"/>
  </sheetPr>
  <dimension ref="A1:E18"/>
  <sheetViews>
    <sheetView zoomScale="110" zoomScaleNormal="110" workbookViewId="0">
      <selection activeCell="O12" sqref="O12"/>
    </sheetView>
  </sheetViews>
  <sheetFormatPr defaultColWidth="6.140625" defaultRowHeight="15" x14ac:dyDescent="0.25"/>
  <cols>
    <col min="1" max="1" width="11" bestFit="1" customWidth="1"/>
    <col min="2" max="2" width="11.42578125" bestFit="1" customWidth="1"/>
    <col min="3" max="3" width="9.5703125" bestFit="1" customWidth="1"/>
    <col min="4" max="5" width="9.5703125" style="1" bestFit="1" customWidth="1"/>
  </cols>
  <sheetData>
    <row r="1" spans="1:5" s="20" customFormat="1" ht="23.25" x14ac:dyDescent="0.35">
      <c r="A1" s="111" t="s">
        <v>46</v>
      </c>
      <c r="B1" s="111"/>
      <c r="C1" s="111"/>
      <c r="D1" s="111"/>
      <c r="E1" s="111"/>
    </row>
    <row r="2" spans="1:5" s="9" customFormat="1" ht="30" x14ac:dyDescent="0.25">
      <c r="A2" s="8" t="s">
        <v>0</v>
      </c>
      <c r="B2" s="8" t="s">
        <v>41</v>
      </c>
      <c r="C2" s="38" t="s">
        <v>13</v>
      </c>
      <c r="D2" s="38" t="s">
        <v>14</v>
      </c>
      <c r="E2" s="38" t="s">
        <v>15</v>
      </c>
    </row>
    <row r="3" spans="1:5" x14ac:dyDescent="0.25">
      <c r="A3" s="4" t="s">
        <v>3</v>
      </c>
      <c r="B3" s="4" t="s">
        <v>42</v>
      </c>
      <c r="C3" s="30">
        <v>455</v>
      </c>
      <c r="D3" s="30">
        <v>465</v>
      </c>
      <c r="E3" s="30">
        <v>480</v>
      </c>
    </row>
    <row r="4" spans="1:5" x14ac:dyDescent="0.25">
      <c r="A4" s="4" t="s">
        <v>5</v>
      </c>
      <c r="B4" s="4" t="s">
        <v>43</v>
      </c>
      <c r="C4" s="30">
        <v>690</v>
      </c>
      <c r="D4" s="30">
        <v>700</v>
      </c>
      <c r="E4" s="30">
        <v>715</v>
      </c>
    </row>
    <row r="5" spans="1:5" x14ac:dyDescent="0.25">
      <c r="A5" s="4" t="s">
        <v>4</v>
      </c>
      <c r="B5" s="4" t="s">
        <v>44</v>
      </c>
      <c r="C5" s="30">
        <v>790</v>
      </c>
      <c r="D5" s="30">
        <v>800</v>
      </c>
      <c r="E5" s="30">
        <v>815</v>
      </c>
    </row>
    <row r="6" spans="1:5" x14ac:dyDescent="0.25">
      <c r="A6" s="4" t="s">
        <v>2</v>
      </c>
      <c r="B6" s="4" t="s">
        <v>42</v>
      </c>
      <c r="C6" s="30">
        <v>1500</v>
      </c>
      <c r="D6" s="30">
        <v>1510</v>
      </c>
      <c r="E6" s="30">
        <v>1525</v>
      </c>
    </row>
    <row r="7" spans="1:5" x14ac:dyDescent="0.25">
      <c r="A7" s="4" t="s">
        <v>3</v>
      </c>
      <c r="B7" s="4" t="s">
        <v>43</v>
      </c>
      <c r="C7" s="30">
        <v>547</v>
      </c>
      <c r="D7" s="30">
        <v>557</v>
      </c>
      <c r="E7" s="30">
        <v>572</v>
      </c>
    </row>
    <row r="8" spans="1:5" x14ac:dyDescent="0.25">
      <c r="A8" s="4" t="s">
        <v>5</v>
      </c>
      <c r="B8" s="4" t="s">
        <v>44</v>
      </c>
      <c r="C8" s="30">
        <v>685</v>
      </c>
      <c r="D8" s="30">
        <v>695</v>
      </c>
      <c r="E8" s="30">
        <v>710</v>
      </c>
    </row>
    <row r="9" spans="1:5" x14ac:dyDescent="0.25">
      <c r="A9" s="4" t="s">
        <v>4</v>
      </c>
      <c r="B9" s="4" t="s">
        <v>43</v>
      </c>
      <c r="C9" s="30">
        <v>1000</v>
      </c>
      <c r="D9" s="30">
        <v>1010</v>
      </c>
      <c r="E9" s="30">
        <v>1025</v>
      </c>
    </row>
    <row r="10" spans="1:5" x14ac:dyDescent="0.25">
      <c r="A10" s="4" t="s">
        <v>2</v>
      </c>
      <c r="B10" s="4" t="s">
        <v>44</v>
      </c>
      <c r="C10" s="30">
        <v>2100</v>
      </c>
      <c r="D10" s="30">
        <v>2110</v>
      </c>
      <c r="E10" s="30">
        <v>2125</v>
      </c>
    </row>
    <row r="11" spans="1:5" x14ac:dyDescent="0.25">
      <c r="A11" s="4" t="s">
        <v>3</v>
      </c>
      <c r="B11" s="4" t="s">
        <v>42</v>
      </c>
      <c r="C11" s="30">
        <v>499</v>
      </c>
      <c r="D11" s="30">
        <v>509</v>
      </c>
      <c r="E11" s="30">
        <v>524</v>
      </c>
    </row>
    <row r="12" spans="1:5" x14ac:dyDescent="0.25">
      <c r="A12" s="4" t="s">
        <v>5</v>
      </c>
      <c r="B12" s="4" t="s">
        <v>43</v>
      </c>
      <c r="C12" s="30">
        <v>432</v>
      </c>
      <c r="D12" s="30">
        <v>442</v>
      </c>
      <c r="E12" s="30">
        <v>457</v>
      </c>
    </row>
    <row r="13" spans="1:5" x14ac:dyDescent="0.25">
      <c r="A13" s="4" t="s">
        <v>4</v>
      </c>
      <c r="B13" s="4" t="s">
        <v>42</v>
      </c>
      <c r="C13" s="30">
        <v>454</v>
      </c>
      <c r="D13" s="30">
        <v>464</v>
      </c>
      <c r="E13" s="30">
        <v>479</v>
      </c>
    </row>
    <row r="14" spans="1:5" x14ac:dyDescent="0.25">
      <c r="A14" s="4" t="s">
        <v>2</v>
      </c>
      <c r="B14" s="4" t="s">
        <v>43</v>
      </c>
      <c r="C14" s="30">
        <v>900</v>
      </c>
      <c r="D14" s="30">
        <v>910</v>
      </c>
      <c r="E14" s="30">
        <v>925</v>
      </c>
    </row>
    <row r="15" spans="1:5" x14ac:dyDescent="0.25">
      <c r="A15" s="4" t="s">
        <v>3</v>
      </c>
      <c r="B15" s="4" t="s">
        <v>44</v>
      </c>
      <c r="C15" s="30">
        <v>780</v>
      </c>
      <c r="D15" s="30">
        <v>790</v>
      </c>
      <c r="E15" s="30">
        <v>805</v>
      </c>
    </row>
    <row r="16" spans="1:5" x14ac:dyDescent="0.25">
      <c r="A16" s="4" t="s">
        <v>5</v>
      </c>
      <c r="B16" s="4" t="s">
        <v>42</v>
      </c>
      <c r="C16" s="30">
        <v>1150</v>
      </c>
      <c r="D16" s="30">
        <v>1160</v>
      </c>
      <c r="E16" s="30">
        <v>1175</v>
      </c>
    </row>
    <row r="17" spans="1:5" x14ac:dyDescent="0.25">
      <c r="A17" s="4" t="s">
        <v>4</v>
      </c>
      <c r="B17" s="4" t="s">
        <v>43</v>
      </c>
      <c r="C17" s="30">
        <v>679</v>
      </c>
      <c r="D17" s="30">
        <v>689</v>
      </c>
      <c r="E17" s="30">
        <v>704</v>
      </c>
    </row>
    <row r="18" spans="1:5" x14ac:dyDescent="0.25">
      <c r="A18" s="4" t="s">
        <v>2</v>
      </c>
      <c r="B18" s="4" t="s">
        <v>44</v>
      </c>
      <c r="C18" s="30">
        <v>1500</v>
      </c>
      <c r="D18" s="30">
        <v>1510</v>
      </c>
      <c r="E18" s="30">
        <v>1525</v>
      </c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>
    <tabColor rgb="FF0070C0"/>
  </sheetPr>
  <dimension ref="A1:J30"/>
  <sheetViews>
    <sheetView showGridLines="0" topLeftCell="A2" zoomScale="90" zoomScaleNormal="90" workbookViewId="0">
      <selection activeCell="F16" sqref="F16"/>
    </sheetView>
  </sheetViews>
  <sheetFormatPr defaultColWidth="10" defaultRowHeight="15" x14ac:dyDescent="0.25"/>
  <cols>
    <col min="1" max="1" width="10.42578125" customWidth="1"/>
    <col min="2" max="2" width="11.85546875" customWidth="1"/>
    <col min="3" max="3" width="11.140625" bestFit="1" customWidth="1"/>
    <col min="4" max="4" width="11.140625" style="1" bestFit="1" customWidth="1"/>
    <col min="5" max="5" width="10.5703125" style="1" bestFit="1" customWidth="1"/>
    <col min="6" max="6" width="11.5703125" bestFit="1" customWidth="1"/>
  </cols>
  <sheetData>
    <row r="1" spans="1:10" s="12" customFormat="1" ht="24" thickBot="1" x14ac:dyDescent="0.3">
      <c r="A1" s="82" t="s">
        <v>19</v>
      </c>
      <c r="B1" s="83"/>
      <c r="C1" s="83"/>
      <c r="D1" s="84"/>
      <c r="E1" s="64" t="str">
        <f>CHOOSE(F1,A3,A4,A5,A6)</f>
        <v>Set</v>
      </c>
      <c r="F1" s="64">
        <v>1</v>
      </c>
      <c r="J1" s="31">
        <v>0.05</v>
      </c>
    </row>
    <row r="2" spans="1:10" s="9" customFormat="1" ht="30" x14ac:dyDescent="0.25">
      <c r="A2" s="8" t="s">
        <v>20</v>
      </c>
      <c r="B2" s="8" t="s">
        <v>0</v>
      </c>
      <c r="C2" s="8" t="s">
        <v>18</v>
      </c>
      <c r="D2" s="62" t="s">
        <v>60</v>
      </c>
      <c r="E2" s="87"/>
      <c r="F2" s="88"/>
      <c r="J2" s="31">
        <v>7.0000000000000007E-2</v>
      </c>
    </row>
    <row r="3" spans="1:10" x14ac:dyDescent="0.25">
      <c r="A3" s="4" t="s">
        <v>21</v>
      </c>
      <c r="B3" s="4" t="s">
        <v>3</v>
      </c>
      <c r="C3" s="41">
        <v>1000</v>
      </c>
      <c r="D3" s="63">
        <f>IF(A3=$E$1,C3*$J$1,IF(A3=$E$1,C3*$J$2,IF(A3=$E$1,C3*$J$3,C3*$J$4)))</f>
        <v>50</v>
      </c>
      <c r="E3" s="89"/>
      <c r="F3" s="90"/>
      <c r="J3" s="31">
        <v>0.1</v>
      </c>
    </row>
    <row r="4" spans="1:10" x14ac:dyDescent="0.25">
      <c r="A4" s="4" t="s">
        <v>22</v>
      </c>
      <c r="B4" s="4" t="s">
        <v>5</v>
      </c>
      <c r="C4" s="41">
        <v>1500</v>
      </c>
      <c r="D4" s="63">
        <f>IF(A4=$E$1,C4*$J$1,IF(A4=$E$1,C4*$J$2,IF(A4=$E$1,C4*$J$3,C4*$J$4)))</f>
        <v>180</v>
      </c>
      <c r="E4" s="89"/>
      <c r="F4" s="90"/>
      <c r="J4" s="31">
        <v>0.12</v>
      </c>
    </row>
    <row r="5" spans="1:10" x14ac:dyDescent="0.25">
      <c r="A5" s="4" t="s">
        <v>23</v>
      </c>
      <c r="B5" s="4" t="s">
        <v>4</v>
      </c>
      <c r="C5" s="41">
        <v>900</v>
      </c>
      <c r="D5" s="63">
        <f>IF(A5=$E$1,C5*$J$1,IF(A5=$E$1,C5*$J$2,IF(A5=$E$1,C5*$J$3,C5*$J$4)))</f>
        <v>108</v>
      </c>
      <c r="E5" s="89"/>
      <c r="F5" s="90"/>
    </row>
    <row r="6" spans="1:10" x14ac:dyDescent="0.25">
      <c r="A6" s="4" t="s">
        <v>24</v>
      </c>
      <c r="B6" s="4" t="s">
        <v>2</v>
      </c>
      <c r="C6" s="41">
        <v>1200</v>
      </c>
      <c r="D6" s="63">
        <f>IF(A6=$E$1,C6*$J$1,IF(A6=$E$1,C6*$J$2,IF(A6=$E$1,C6*$J$3,C6*$J$4)))</f>
        <v>144</v>
      </c>
      <c r="E6" s="89"/>
      <c r="F6" s="90"/>
    </row>
    <row r="7" spans="1:10" ht="15.75" thickBot="1" x14ac:dyDescent="0.3">
      <c r="A7" s="17" t="s">
        <v>17</v>
      </c>
      <c r="B7" s="17" t="s">
        <v>17</v>
      </c>
      <c r="C7" s="41">
        <f>SUM(C3:C6)</f>
        <v>4600</v>
      </c>
      <c r="D7" s="63">
        <f>SUM(D3:D6)</f>
        <v>482</v>
      </c>
      <c r="E7" s="91"/>
      <c r="F7" s="92"/>
    </row>
    <row r="8" spans="1:10" x14ac:dyDescent="0.25">
      <c r="E8" s="22"/>
      <c r="F8" s="22"/>
    </row>
    <row r="9" spans="1:10" x14ac:dyDescent="0.25">
      <c r="A9" s="3" t="s">
        <v>51</v>
      </c>
      <c r="B9" s="65">
        <v>356</v>
      </c>
      <c r="C9" s="4"/>
      <c r="E9" s="22"/>
      <c r="F9" s="22"/>
    </row>
    <row r="10" spans="1:10" x14ac:dyDescent="0.25">
      <c r="A10" s="5"/>
      <c r="B10" s="5" t="s">
        <v>49</v>
      </c>
      <c r="C10" s="5" t="s">
        <v>50</v>
      </c>
      <c r="E10" s="49"/>
      <c r="F10" s="27"/>
    </row>
    <row r="11" spans="1:10" x14ac:dyDescent="0.25">
      <c r="A11" s="5" t="s">
        <v>52</v>
      </c>
      <c r="B11" s="6">
        <v>0</v>
      </c>
      <c r="C11" s="6">
        <v>0</v>
      </c>
      <c r="E11" s="49"/>
    </row>
    <row r="12" spans="1:10" x14ac:dyDescent="0.25">
      <c r="A12" s="5" t="s">
        <v>48</v>
      </c>
      <c r="B12" s="73">
        <f>-COS(PI()*B9/D7)</f>
        <v>0.68130951480126489</v>
      </c>
      <c r="C12" s="6">
        <f>SIN(PI()*B9/D7)</f>
        <v>0.73199545424904444</v>
      </c>
      <c r="E12" s="49"/>
    </row>
    <row r="13" spans="1:10" x14ac:dyDescent="0.25">
      <c r="A13" s="1"/>
      <c r="B13" s="1"/>
      <c r="E13" s="49"/>
    </row>
    <row r="14" spans="1:10" x14ac:dyDescent="0.25">
      <c r="A14" s="85" t="s">
        <v>69</v>
      </c>
      <c r="B14" s="86"/>
    </row>
    <row r="15" spans="1:10" x14ac:dyDescent="0.25">
      <c r="A15" s="85" t="s">
        <v>68</v>
      </c>
      <c r="B15" s="86"/>
    </row>
    <row r="18" spans="1:3" x14ac:dyDescent="0.25">
      <c r="C18" s="72"/>
    </row>
    <row r="22" spans="1:3" hidden="1" x14ac:dyDescent="0.25">
      <c r="A22" s="112">
        <f ca="1">NOW()</f>
        <v>43606.589008101852</v>
      </c>
    </row>
    <row r="24" spans="1:3" x14ac:dyDescent="0.25">
      <c r="A24" s="31">
        <v>0.05</v>
      </c>
    </row>
    <row r="25" spans="1:3" x14ac:dyDescent="0.25">
      <c r="A25" s="31">
        <v>0.05</v>
      </c>
    </row>
    <row r="26" spans="1:3" x14ac:dyDescent="0.25">
      <c r="A26" s="31">
        <v>0.05</v>
      </c>
    </row>
    <row r="27" spans="1:3" x14ac:dyDescent="0.25">
      <c r="A27" s="31">
        <v>0.05</v>
      </c>
    </row>
    <row r="28" spans="1:3" x14ac:dyDescent="0.25">
      <c r="A28" s="31">
        <v>0.05</v>
      </c>
    </row>
    <row r="29" spans="1:3" x14ac:dyDescent="0.25">
      <c r="A29" s="31">
        <v>0.05</v>
      </c>
    </row>
    <row r="30" spans="1:3" x14ac:dyDescent="0.25">
      <c r="A30" s="69">
        <f>SUM(A24:A29)</f>
        <v>0.3</v>
      </c>
    </row>
  </sheetData>
  <mergeCells count="4">
    <mergeCell ref="A1:D1"/>
    <mergeCell ref="A14:B14"/>
    <mergeCell ref="A15:B15"/>
    <mergeCell ref="E2:F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Option Button 1">
              <controlPr defaultSize="0" autoFill="0" autoLine="0" autoPict="0">
                <anchor moveWithCells="1">
                  <from>
                    <xdr:col>4</xdr:col>
                    <xdr:colOff>247650</xdr:colOff>
                    <xdr:row>1</xdr:row>
                    <xdr:rowOff>76200</xdr:rowOff>
                  </from>
                  <to>
                    <xdr:col>5</xdr:col>
                    <xdr:colOff>504825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Option Button 2">
              <controlPr defaultSize="0" autoFill="0" autoLine="0" autoPict="0">
                <anchor moveWithCells="1">
                  <from>
                    <xdr:col>4</xdr:col>
                    <xdr:colOff>247650</xdr:colOff>
                    <xdr:row>2</xdr:row>
                    <xdr:rowOff>9525</xdr:rowOff>
                  </from>
                  <to>
                    <xdr:col>5</xdr:col>
                    <xdr:colOff>504825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Option Button 3">
              <controlPr defaultSize="0" autoFill="0" autoLine="0" autoPict="0">
                <anchor moveWithCells="1">
                  <from>
                    <xdr:col>4</xdr:col>
                    <xdr:colOff>247650</xdr:colOff>
                    <xdr:row>3</xdr:row>
                    <xdr:rowOff>133350</xdr:rowOff>
                  </from>
                  <to>
                    <xdr:col>5</xdr:col>
                    <xdr:colOff>504825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Option Button 4">
              <controlPr defaultSize="0" autoFill="0" autoLine="0" autoPict="0">
                <anchor moveWithCells="1">
                  <from>
                    <xdr:col>4</xdr:col>
                    <xdr:colOff>247650</xdr:colOff>
                    <xdr:row>5</xdr:row>
                    <xdr:rowOff>57150</xdr:rowOff>
                  </from>
                  <to>
                    <xdr:col>5</xdr:col>
                    <xdr:colOff>504825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Scroll Bar 5">
              <controlPr defaultSize="0" autoPict="0">
                <anchor moveWithCells="1">
                  <from>
                    <xdr:col>2</xdr:col>
                    <xdr:colOff>9525</xdr:colOff>
                    <xdr:row>7</xdr:row>
                    <xdr:rowOff>161925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showGridLines="0" zoomScale="70" zoomScaleNormal="70" workbookViewId="0">
      <selection activeCell="S36" sqref="S3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19"/>
  <sheetViews>
    <sheetView zoomScaleNormal="100" workbookViewId="0">
      <selection activeCell="L16" sqref="L16"/>
    </sheetView>
  </sheetViews>
  <sheetFormatPr defaultRowHeight="15" x14ac:dyDescent="0.25"/>
  <cols>
    <col min="1" max="1" width="12.85546875" bestFit="1" customWidth="1"/>
    <col min="2" max="2" width="11.42578125" bestFit="1" customWidth="1"/>
    <col min="6" max="6" width="9.140625" customWidth="1"/>
    <col min="7" max="7" width="9.140625" hidden="1" customWidth="1"/>
  </cols>
  <sheetData>
    <row r="1" spans="1:7" s="9" customFormat="1" ht="23.25" customHeight="1" x14ac:dyDescent="0.2">
      <c r="G1" s="68" t="s">
        <v>57</v>
      </c>
    </row>
    <row r="2" spans="1:7" x14ac:dyDescent="0.25">
      <c r="G2" s="68" t="s">
        <v>56</v>
      </c>
    </row>
    <row r="3" spans="1:7" s="12" customFormat="1" ht="26.25" customHeight="1" thickBot="1" x14ac:dyDescent="0.25">
      <c r="B3" s="66" t="str">
        <f>IF(B7&gt;=70%,G1,IF(B7&gt;=40%,G3,G2))</f>
        <v>â</v>
      </c>
      <c r="G3" s="68" t="s">
        <v>58</v>
      </c>
    </row>
    <row r="4" spans="1:7" ht="18.75" customHeight="1" x14ac:dyDescent="0.3">
      <c r="A4" s="34"/>
      <c r="B4" s="42" t="s">
        <v>47</v>
      </c>
      <c r="C4" s="93"/>
    </row>
    <row r="5" spans="1:7" ht="18.75" customHeight="1" x14ac:dyDescent="0.3">
      <c r="A5" s="35" t="s">
        <v>53</v>
      </c>
      <c r="B5" s="43">
        <v>100</v>
      </c>
      <c r="C5" s="94"/>
    </row>
    <row r="6" spans="1:7" ht="18.75" customHeight="1" x14ac:dyDescent="0.3">
      <c r="A6" s="34" t="s">
        <v>54</v>
      </c>
      <c r="B6" s="43">
        <v>58</v>
      </c>
      <c r="C6" s="94"/>
    </row>
    <row r="7" spans="1:7" ht="18.75" customHeight="1" thickBot="1" x14ac:dyDescent="0.35">
      <c r="A7" s="36" t="s">
        <v>55</v>
      </c>
      <c r="B7" s="44">
        <f>B6/B5</f>
        <v>0.57999999999999996</v>
      </c>
      <c r="C7" s="95"/>
    </row>
    <row r="8" spans="1:7" ht="15" customHeight="1" x14ac:dyDescent="0.25"/>
    <row r="9" spans="1:7" ht="15" customHeight="1" x14ac:dyDescent="0.25"/>
    <row r="10" spans="1:7" ht="15" customHeight="1" x14ac:dyDescent="0.25">
      <c r="A10" s="67"/>
    </row>
    <row r="11" spans="1:7" ht="15" customHeight="1" x14ac:dyDescent="0.25">
      <c r="A11" s="67"/>
    </row>
    <row r="12" spans="1:7" x14ac:dyDescent="0.25">
      <c r="A12" s="67"/>
    </row>
    <row r="16" spans="1:7" x14ac:dyDescent="0.25">
      <c r="A16" s="37"/>
    </row>
    <row r="17" spans="1:5" x14ac:dyDescent="0.25">
      <c r="A17" s="37"/>
    </row>
    <row r="18" spans="1:5" x14ac:dyDescent="0.25">
      <c r="A18" s="37"/>
      <c r="E18" s="37"/>
    </row>
    <row r="19" spans="1:5" x14ac:dyDescent="0.25">
      <c r="A19" s="37"/>
    </row>
  </sheetData>
  <mergeCells count="1">
    <mergeCell ref="C4:C7"/>
  </mergeCells>
  <conditionalFormatting sqref="B3">
    <cfRule type="cellIs" dxfId="7" priority="23" operator="equal">
      <formula>$G$3</formula>
    </cfRule>
    <cfRule type="cellIs" dxfId="6" priority="24" operator="equal">
      <formula>$G$2</formula>
    </cfRule>
    <cfRule type="cellIs" dxfId="5" priority="25" operator="equal">
      <formula>$G$1</formula>
    </cfRule>
  </conditionalFormatting>
  <dataValidations count="1">
    <dataValidation type="whole" operator="lessThanOrEqual" allowBlank="1" showInputMessage="1" showErrorMessage="1" errorTitle="Meta" error="Capacidade máxima de produção é de: &lt;= 1000." sqref="B5" xr:uid="{00000000-0002-0000-0A00-000000000000}">
      <formula1>1000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3" r:id="rId4" name="Scroll Bar 3">
              <controlPr defaultSize="0" autoPict="0">
                <anchor moveWithCells="1">
                  <from>
                    <xdr:col>2</xdr:col>
                    <xdr:colOff>104775</xdr:colOff>
                    <xdr:row>3</xdr:row>
                    <xdr:rowOff>47625</xdr:rowOff>
                  </from>
                  <to>
                    <xdr:col>2</xdr:col>
                    <xdr:colOff>485775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I14"/>
  <sheetViews>
    <sheetView zoomScale="140" zoomScaleNormal="140" workbookViewId="0">
      <selection activeCell="L5" sqref="L5"/>
    </sheetView>
  </sheetViews>
  <sheetFormatPr defaultRowHeight="15" x14ac:dyDescent="0.25"/>
  <cols>
    <col min="2" max="4" width="9.140625" customWidth="1"/>
    <col min="5" max="5" width="10.28515625" customWidth="1"/>
    <col min="7" max="9" width="9.140625" hidden="1" customWidth="1"/>
    <col min="10" max="10" width="9.140625" customWidth="1"/>
  </cols>
  <sheetData>
    <row r="1" spans="2:9" x14ac:dyDescent="0.25">
      <c r="B1" s="4">
        <v>1</v>
      </c>
      <c r="C1" s="4" t="s">
        <v>4</v>
      </c>
      <c r="D1" s="4">
        <f>IF(B1=$D$6,SUMIF($H$1:$H$12,C1,$I$1:$I$12),0)</f>
        <v>0</v>
      </c>
      <c r="G1" s="45" t="str">
        <f>IF(C1=$E$6,$H$14,"")</f>
        <v/>
      </c>
      <c r="H1" t="s">
        <v>4</v>
      </c>
      <c r="I1">
        <v>765</v>
      </c>
    </row>
    <row r="2" spans="2:9" x14ac:dyDescent="0.25">
      <c r="B2" s="4">
        <v>2</v>
      </c>
      <c r="C2" s="4" t="s">
        <v>2</v>
      </c>
      <c r="D2" s="4">
        <f>IF(B2=$D$6,SUMIF($H$1:$H$12,C2,$I$1:$I$12),0)</f>
        <v>0</v>
      </c>
      <c r="G2" s="45" t="str">
        <f>IF(C2=$E$6,$H$14,"")</f>
        <v/>
      </c>
      <c r="H2" t="s">
        <v>2</v>
      </c>
      <c r="I2">
        <v>1000</v>
      </c>
    </row>
    <row r="3" spans="2:9" x14ac:dyDescent="0.25">
      <c r="B3" s="4">
        <v>3</v>
      </c>
      <c r="C3" s="4" t="s">
        <v>5</v>
      </c>
      <c r="D3" s="4">
        <f>IF(B3=$D$6,SUMIF($H$1:$H$12,C3,$I$1:$I$12),0)</f>
        <v>0</v>
      </c>
      <c r="G3" s="45" t="str">
        <f>IF(C3=$E$6,$H$14,"")</f>
        <v/>
      </c>
      <c r="H3" t="s">
        <v>5</v>
      </c>
      <c r="I3">
        <v>456</v>
      </c>
    </row>
    <row r="4" spans="2:9" x14ac:dyDescent="0.25">
      <c r="B4" s="4">
        <v>4</v>
      </c>
      <c r="C4" s="4" t="s">
        <v>3</v>
      </c>
      <c r="D4" s="4">
        <f>IF(B4=$D$6,SUMIF($H$1:$H$12,C4,$I$1:$I$12),0)</f>
        <v>1077</v>
      </c>
      <c r="G4" s="45" t="str">
        <f>IF(C4=$E$6,$H$14,"")</f>
        <v>l</v>
      </c>
      <c r="H4" t="s">
        <v>3</v>
      </c>
      <c r="I4">
        <v>324</v>
      </c>
    </row>
    <row r="5" spans="2:9" x14ac:dyDescent="0.25">
      <c r="H5" t="s">
        <v>4</v>
      </c>
      <c r="I5">
        <v>346</v>
      </c>
    </row>
    <row r="6" spans="2:9" x14ac:dyDescent="0.25">
      <c r="B6" s="78"/>
      <c r="C6" s="78"/>
      <c r="D6" s="39">
        <v>4</v>
      </c>
      <c r="E6" s="74" t="str">
        <f>CHOOSE(D6,H1,H2,H3,H4)</f>
        <v>Celular</v>
      </c>
      <c r="H6" t="s">
        <v>5</v>
      </c>
      <c r="I6">
        <v>134</v>
      </c>
    </row>
    <row r="7" spans="2:9" x14ac:dyDescent="0.25">
      <c r="B7" s="4">
        <f>D1</f>
        <v>0</v>
      </c>
      <c r="C7" s="4">
        <f>D2</f>
        <v>0</v>
      </c>
      <c r="D7" s="4">
        <f>D3</f>
        <v>0</v>
      </c>
      <c r="E7" s="4">
        <f>D4</f>
        <v>1077</v>
      </c>
      <c r="H7" t="s">
        <v>3</v>
      </c>
      <c r="I7">
        <v>432</v>
      </c>
    </row>
    <row r="8" spans="2:9" x14ac:dyDescent="0.25">
      <c r="B8" s="40" t="s">
        <v>4</v>
      </c>
      <c r="C8" s="40" t="s">
        <v>2</v>
      </c>
      <c r="D8" s="40" t="s">
        <v>5</v>
      </c>
      <c r="E8" s="40" t="s">
        <v>3</v>
      </c>
      <c r="H8" t="s">
        <v>4</v>
      </c>
      <c r="I8">
        <v>354</v>
      </c>
    </row>
    <row r="9" spans="2:9" x14ac:dyDescent="0.25">
      <c r="B9" s="78"/>
      <c r="C9" s="78"/>
      <c r="D9" s="78"/>
      <c r="E9" s="78"/>
      <c r="H9" t="s">
        <v>4</v>
      </c>
      <c r="I9">
        <v>900</v>
      </c>
    </row>
    <row r="10" spans="2:9" x14ac:dyDescent="0.25">
      <c r="B10" s="78"/>
      <c r="C10" s="78"/>
      <c r="D10" s="78"/>
      <c r="E10" s="78"/>
      <c r="H10" t="s">
        <v>2</v>
      </c>
      <c r="I10">
        <v>598</v>
      </c>
    </row>
    <row r="11" spans="2:9" x14ac:dyDescent="0.25">
      <c r="B11" s="78"/>
      <c r="C11" s="78"/>
      <c r="D11" s="78"/>
      <c r="E11" s="78"/>
      <c r="H11" t="s">
        <v>5</v>
      </c>
      <c r="I11">
        <v>234</v>
      </c>
    </row>
    <row r="12" spans="2:9" x14ac:dyDescent="0.25">
      <c r="H12" t="s">
        <v>3</v>
      </c>
      <c r="I12">
        <v>321</v>
      </c>
    </row>
    <row r="14" spans="2:9" x14ac:dyDescent="0.25">
      <c r="H14" s="46" t="s">
        <v>59</v>
      </c>
    </row>
  </sheetData>
  <mergeCells count="2">
    <mergeCell ref="B9:E11"/>
    <mergeCell ref="B6:C6"/>
  </mergeCells>
  <conditionalFormatting sqref="D1:D4">
    <cfRule type="cellIs" dxfId="4" priority="3" operator="equal">
      <formula>0</formula>
    </cfRule>
  </conditionalFormatting>
  <conditionalFormatting sqref="G1:G4">
    <cfRule type="expression" dxfId="3" priority="4">
      <formula>$I$1&gt;=100</formula>
    </cfRule>
    <cfRule type="expression" dxfId="2" priority="5">
      <formula>$I$1&gt;=400</formula>
    </cfRule>
    <cfRule type="expression" dxfId="1" priority="6">
      <formula>$I$1&gt;1000</formula>
    </cfRule>
  </conditionalFormatting>
  <conditionalFormatting sqref="B7:E7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Scroll Bar 1">
              <controlPr defaultSize="0" autoPict="0">
                <anchor moveWithCells="1">
                  <from>
                    <xdr:col>1</xdr:col>
                    <xdr:colOff>123825</xdr:colOff>
                    <xdr:row>5</xdr:row>
                    <xdr:rowOff>9525</xdr:rowOff>
                  </from>
                  <to>
                    <xdr:col>2</xdr:col>
                    <xdr:colOff>542925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O36"/>
  <sheetViews>
    <sheetView zoomScale="90" zoomScaleNormal="90" workbookViewId="0">
      <selection activeCell="H13" sqref="H13"/>
    </sheetView>
  </sheetViews>
  <sheetFormatPr defaultColWidth="10" defaultRowHeight="15" x14ac:dyDescent="0.25"/>
  <cols>
    <col min="1" max="1" width="12.42578125" bestFit="1" customWidth="1"/>
    <col min="2" max="2" width="11.7109375" bestFit="1" customWidth="1"/>
    <col min="3" max="3" width="7" bestFit="1" customWidth="1"/>
    <col min="4" max="5" width="7" style="1" bestFit="1" customWidth="1"/>
    <col min="6" max="6" width="7.28515625" bestFit="1" customWidth="1"/>
    <col min="7" max="7" width="7.42578125" bestFit="1" customWidth="1"/>
    <col min="8" max="8" width="7.7109375" customWidth="1"/>
    <col min="9" max="9" width="7.28515625" customWidth="1"/>
    <col min="10" max="10" width="11.42578125" bestFit="1" customWidth="1"/>
    <col min="11" max="11" width="9.5703125" customWidth="1"/>
    <col min="13" max="13" width="11.42578125" customWidth="1"/>
    <col min="14" max="14" width="12.42578125" bestFit="1" customWidth="1"/>
    <col min="15" max="15" width="11.7109375" bestFit="1" customWidth="1"/>
  </cols>
  <sheetData>
    <row r="1" spans="1:15" s="20" customFormat="1" ht="23.25" x14ac:dyDescent="0.35">
      <c r="A1" s="96" t="s">
        <v>16</v>
      </c>
      <c r="B1" s="97"/>
      <c r="C1" s="97"/>
      <c r="D1" s="97"/>
      <c r="E1" s="97"/>
      <c r="G1" s="47">
        <v>1</v>
      </c>
      <c r="H1" s="98"/>
      <c r="I1" s="99"/>
      <c r="J1" s="47" t="str">
        <f>CHOOSE(G1,O1,O2,O3)</f>
        <v>Campinas</v>
      </c>
      <c r="M1"/>
      <c r="N1"/>
      <c r="O1" s="25" t="s">
        <v>42</v>
      </c>
    </row>
    <row r="2" spans="1:15" s="9" customFormat="1" ht="30" x14ac:dyDescent="0.25">
      <c r="A2" s="8" t="s">
        <v>0</v>
      </c>
      <c r="B2" s="8" t="s">
        <v>41</v>
      </c>
      <c r="C2" s="8" t="s">
        <v>13</v>
      </c>
      <c r="D2" s="8" t="s">
        <v>14</v>
      </c>
      <c r="E2" s="8" t="s">
        <v>15</v>
      </c>
      <c r="G2" s="23"/>
      <c r="H2" s="8" t="s">
        <v>13</v>
      </c>
      <c r="I2" s="8" t="s">
        <v>14</v>
      </c>
      <c r="J2" s="8" t="s">
        <v>15</v>
      </c>
      <c r="K2" s="26"/>
      <c r="O2" s="25" t="s">
        <v>43</v>
      </c>
    </row>
    <row r="3" spans="1:15" x14ac:dyDescent="0.25">
      <c r="A3" s="4" t="s">
        <v>3</v>
      </c>
      <c r="B3" s="4" t="s">
        <v>42</v>
      </c>
      <c r="C3" s="6">
        <v>200</v>
      </c>
      <c r="D3" s="6">
        <v>350</v>
      </c>
      <c r="E3" s="6">
        <v>200</v>
      </c>
      <c r="G3" s="4" t="s">
        <v>3</v>
      </c>
      <c r="H3" s="4">
        <f>SUMIFS(C:C,$A:$A,$G3,$B:$B,$J$1)</f>
        <v>545</v>
      </c>
      <c r="I3" s="4">
        <f t="shared" ref="H3:J6" si="0">SUMIFS(D:D,$A:$A,$G3,$B:$B,$J$1)</f>
        <v>700</v>
      </c>
      <c r="J3" s="4">
        <f t="shared" si="0"/>
        <v>476</v>
      </c>
      <c r="K3" s="27"/>
      <c r="O3" s="4" t="s">
        <v>44</v>
      </c>
    </row>
    <row r="4" spans="1:15" x14ac:dyDescent="0.25">
      <c r="A4" s="4" t="s">
        <v>5</v>
      </c>
      <c r="B4" s="4" t="s">
        <v>43</v>
      </c>
      <c r="C4" s="6">
        <v>320</v>
      </c>
      <c r="D4" s="6">
        <v>543</v>
      </c>
      <c r="E4" s="6">
        <v>288</v>
      </c>
      <c r="G4" s="4" t="s">
        <v>5</v>
      </c>
      <c r="H4" s="4">
        <f t="shared" si="0"/>
        <v>236</v>
      </c>
      <c r="I4" s="4">
        <f t="shared" si="0"/>
        <v>611</v>
      </c>
      <c r="J4" s="4">
        <f t="shared" si="0"/>
        <v>280</v>
      </c>
      <c r="K4" s="27"/>
    </row>
    <row r="5" spans="1:15" x14ac:dyDescent="0.25">
      <c r="A5" s="4" t="s">
        <v>4</v>
      </c>
      <c r="B5" s="4" t="s">
        <v>44</v>
      </c>
      <c r="C5" s="6">
        <v>400</v>
      </c>
      <c r="D5" s="6">
        <v>350</v>
      </c>
      <c r="E5" s="6">
        <v>380</v>
      </c>
      <c r="G5" s="4" t="s">
        <v>4</v>
      </c>
      <c r="H5" s="4">
        <f t="shared" si="0"/>
        <v>454</v>
      </c>
      <c r="I5" s="4">
        <f t="shared" si="0"/>
        <v>389</v>
      </c>
      <c r="J5" s="4">
        <f t="shared" si="0"/>
        <v>266</v>
      </c>
      <c r="K5" s="27"/>
    </row>
    <row r="6" spans="1:15" x14ac:dyDescent="0.25">
      <c r="A6" s="4" t="s">
        <v>2</v>
      </c>
      <c r="B6" s="4" t="s">
        <v>42</v>
      </c>
      <c r="C6" s="6">
        <v>290</v>
      </c>
      <c r="D6" s="6">
        <v>400</v>
      </c>
      <c r="E6" s="6">
        <v>370</v>
      </c>
      <c r="G6" s="4" t="s">
        <v>2</v>
      </c>
      <c r="H6" s="4">
        <f t="shared" si="0"/>
        <v>290</v>
      </c>
      <c r="I6" s="4">
        <f t="shared" si="0"/>
        <v>400</v>
      </c>
      <c r="J6" s="4">
        <f t="shared" si="0"/>
        <v>370</v>
      </c>
      <c r="K6" s="27"/>
    </row>
    <row r="7" spans="1:15" x14ac:dyDescent="0.25">
      <c r="A7" s="4" t="s">
        <v>3</v>
      </c>
      <c r="B7" s="4" t="s">
        <v>43</v>
      </c>
      <c r="C7" s="6">
        <v>432</v>
      </c>
      <c r="D7" s="6">
        <v>346</v>
      </c>
      <c r="E7" s="6">
        <v>267</v>
      </c>
    </row>
    <row r="8" spans="1:15" x14ac:dyDescent="0.25">
      <c r="A8" s="4" t="s">
        <v>5</v>
      </c>
      <c r="B8" s="4" t="s">
        <v>44</v>
      </c>
      <c r="C8" s="6">
        <v>324</v>
      </c>
      <c r="D8" s="6">
        <v>657</v>
      </c>
      <c r="E8" s="6">
        <v>267</v>
      </c>
    </row>
    <row r="9" spans="1:15" x14ac:dyDescent="0.25">
      <c r="A9" s="4" t="s">
        <v>4</v>
      </c>
      <c r="B9" s="4" t="s">
        <v>43</v>
      </c>
      <c r="C9" s="6">
        <v>412</v>
      </c>
      <c r="D9" s="6">
        <v>367</v>
      </c>
      <c r="E9" s="6">
        <v>399</v>
      </c>
    </row>
    <row r="10" spans="1:15" x14ac:dyDescent="0.25">
      <c r="A10" s="4" t="s">
        <v>2</v>
      </c>
      <c r="B10" s="4" t="s">
        <v>44</v>
      </c>
      <c r="C10" s="6">
        <v>288</v>
      </c>
      <c r="D10" s="6">
        <v>347</v>
      </c>
      <c r="E10" s="6">
        <v>490</v>
      </c>
    </row>
    <row r="11" spans="1:15" x14ac:dyDescent="0.25">
      <c r="A11" s="4" t="s">
        <v>3</v>
      </c>
      <c r="B11" s="4" t="s">
        <v>42</v>
      </c>
      <c r="C11" s="6">
        <v>345</v>
      </c>
      <c r="D11" s="6">
        <v>350</v>
      </c>
      <c r="E11" s="6">
        <v>276</v>
      </c>
    </row>
    <row r="12" spans="1:15" x14ac:dyDescent="0.25">
      <c r="A12" s="4" t="s">
        <v>5</v>
      </c>
      <c r="B12" s="4" t="s">
        <v>43</v>
      </c>
      <c r="C12" s="6">
        <v>432</v>
      </c>
      <c r="D12" s="6">
        <v>431</v>
      </c>
      <c r="E12" s="6">
        <v>321</v>
      </c>
    </row>
    <row r="13" spans="1:15" x14ac:dyDescent="0.25">
      <c r="A13" s="4" t="s">
        <v>4</v>
      </c>
      <c r="B13" s="4" t="s">
        <v>42</v>
      </c>
      <c r="C13" s="6">
        <v>454</v>
      </c>
      <c r="D13" s="6">
        <v>389</v>
      </c>
      <c r="E13" s="6">
        <v>266</v>
      </c>
    </row>
    <row r="14" spans="1:15" x14ac:dyDescent="0.25">
      <c r="A14" s="4" t="s">
        <v>2</v>
      </c>
      <c r="B14" s="4" t="s">
        <v>43</v>
      </c>
      <c r="C14" s="6">
        <v>265</v>
      </c>
      <c r="D14" s="6">
        <v>543</v>
      </c>
      <c r="E14" s="6">
        <v>312</v>
      </c>
    </row>
    <row r="15" spans="1:15" x14ac:dyDescent="0.25">
      <c r="A15" s="4" t="s">
        <v>3</v>
      </c>
      <c r="B15" s="4" t="s">
        <v>44</v>
      </c>
      <c r="C15" s="6">
        <v>300</v>
      </c>
      <c r="D15" s="6">
        <v>350</v>
      </c>
      <c r="E15" s="6">
        <v>222</v>
      </c>
    </row>
    <row r="16" spans="1:15" x14ac:dyDescent="0.25">
      <c r="A16" s="4" t="s">
        <v>5</v>
      </c>
      <c r="B16" s="4" t="s">
        <v>42</v>
      </c>
      <c r="C16" s="6">
        <v>236</v>
      </c>
      <c r="D16" s="6">
        <v>611</v>
      </c>
      <c r="E16" s="6">
        <v>280</v>
      </c>
    </row>
    <row r="17" spans="1:5" x14ac:dyDescent="0.25">
      <c r="A17" s="4" t="s">
        <v>4</v>
      </c>
      <c r="B17" s="4" t="s">
        <v>43</v>
      </c>
      <c r="C17" s="6">
        <v>465</v>
      </c>
      <c r="D17" s="6">
        <v>353</v>
      </c>
      <c r="E17" s="6">
        <v>255</v>
      </c>
    </row>
    <row r="18" spans="1:5" x14ac:dyDescent="0.25">
      <c r="A18" s="4" t="s">
        <v>2</v>
      </c>
      <c r="B18" s="4" t="s">
        <v>44</v>
      </c>
      <c r="C18" s="6">
        <v>233</v>
      </c>
      <c r="D18" s="6">
        <v>512</v>
      </c>
      <c r="E18" s="6">
        <v>378</v>
      </c>
    </row>
    <row r="36" spans="1:1" x14ac:dyDescent="0.25">
      <c r="A36" t="s">
        <v>45</v>
      </c>
    </row>
  </sheetData>
  <mergeCells count="2">
    <mergeCell ref="A1:E1"/>
    <mergeCell ref="H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Scroll Bar 1">
              <controlPr defaultSize="0" autoPict="0">
                <anchor moveWithCells="1">
                  <from>
                    <xdr:col>7</xdr:col>
                    <xdr:colOff>47625</xdr:colOff>
                    <xdr:row>0</xdr:row>
                    <xdr:rowOff>19050</xdr:rowOff>
                  </from>
                  <to>
                    <xdr:col>8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5C5FA584-E343-4806-A37D-6237F71DDCF3}"/>
</file>

<file path=customXml/itemProps2.xml><?xml version="1.0" encoding="utf-8"?>
<ds:datastoreItem xmlns:ds="http://schemas.openxmlformats.org/officeDocument/2006/customXml" ds:itemID="{96DCBDCD-6767-42D5-8291-033256E10EC8}"/>
</file>

<file path=customXml/itemProps3.xml><?xml version="1.0" encoding="utf-8"?>
<ds:datastoreItem xmlns:ds="http://schemas.openxmlformats.org/officeDocument/2006/customXml" ds:itemID="{926878A8-AAF9-435D-AC9C-1B9BEC0397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Rept_SE</vt:lpstr>
      <vt:lpstr>Exemplo1</vt:lpstr>
      <vt:lpstr>Exemplo2</vt:lpstr>
      <vt:lpstr>Exemplo3</vt:lpstr>
      <vt:lpstr>Exemplo4_Resumo</vt:lpstr>
      <vt:lpstr>Exempo4</vt:lpstr>
      <vt:lpstr>Exemplo5</vt:lpstr>
      <vt:lpstr>Posição_Pont.</vt:lpstr>
      <vt:lpstr>Exemplo6</vt:lpstr>
      <vt:lpstr>Exemplo7</vt:lpstr>
      <vt:lpstr>Exemplo8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Cecília Ferreira</dc:creator>
  <cp:lastModifiedBy>User</cp:lastModifiedBy>
  <dcterms:created xsi:type="dcterms:W3CDTF">2015-02-14T17:36:10Z</dcterms:created>
  <dcterms:modified xsi:type="dcterms:W3CDTF">2019-05-21T17:08:39Z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