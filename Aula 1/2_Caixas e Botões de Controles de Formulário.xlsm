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1/"/>
    </mc:Choice>
  </mc:AlternateContent>
  <xr:revisionPtr revIDLastSave="1026" documentId="6_{0B8B5547-27FE-42FC-B35F-E33B61FEDF64}" xr6:coauthVersionLast="47" xr6:coauthVersionMax="47" xr10:uidLastSave="{BF70B639-7BA4-41D4-8A0A-455A9E4BD7C4}"/>
  <bookViews>
    <workbookView xWindow="-120" yWindow="-120" windowWidth="21840" windowHeight="13140" tabRatio="887" firstSheet="11" activeTab="19" xr2:uid="{00000000-000D-0000-FFFF-FFFF00000000}"/>
  </bookViews>
  <sheets>
    <sheet name="Média" sheetId="26" state="hidden" r:id="rId1"/>
    <sheet name="Reajuste" sheetId="27" state="hidden" r:id="rId2"/>
    <sheet name="Nome Lista" sheetId="10" r:id="rId3"/>
    <sheet name="Validação" sheetId="18" r:id="rId4"/>
    <sheet name="Rept" sheetId="2" r:id="rId5"/>
    <sheet name="SE" sheetId="7" r:id="rId6"/>
    <sheet name="SE_Controle" sheetId="20" r:id="rId7"/>
    <sheet name="SomaSE" sheetId="15" r:id="rId8"/>
    <sheet name="SomaSES" sheetId="24" r:id="rId9"/>
    <sheet name="SEERRO" sheetId="11" r:id="rId10"/>
    <sheet name="Procv" sheetId="9" r:id="rId11"/>
    <sheet name="Proch" sheetId="12" r:id="rId12"/>
    <sheet name="Corresp" sheetId="16" r:id="rId13"/>
    <sheet name="Indice" sheetId="17" r:id="rId14"/>
    <sheet name="Indice 1" sheetId="23" r:id="rId15"/>
    <sheet name="Escolher" sheetId="25" r:id="rId16"/>
    <sheet name="MédiaSE" sheetId="28" r:id="rId17"/>
    <sheet name="MédiaSES" sheetId="29" r:id="rId18"/>
    <sheet name="Dados_Tab_Dinâmica" sheetId="30" r:id="rId19"/>
    <sheet name="Tab_Dinâmica" sheetId="31" r:id="rId20"/>
  </sheets>
  <externalReferences>
    <externalReference r:id="rId21"/>
  </externalReferences>
  <definedNames>
    <definedName name="_xlnm._FilterDatabase" localSheetId="18" hidden="1">Dados_Tab_Dinâmica!$A$1:$F$10</definedName>
    <definedName name="_xlnm._FilterDatabase" localSheetId="17" hidden="1">MédiaSES!$A$3:$F$12</definedName>
    <definedName name="_xlnm._FilterDatabase" localSheetId="7" hidden="1">SomaSE!$G$10:$H$11</definedName>
    <definedName name="_xlnm._FilterDatabase" localSheetId="8" hidden="1">SomaSES!$A$3:$F$12</definedName>
    <definedName name="prod">[1]Procv!$A$2:$A$5</definedName>
    <definedName name="SegmentaçãodeDados_Produtos_Eletrônicos">#N/A</definedName>
    <definedName name="SegmentaçãodeDados_Produtos_Eletrônicos1">#N/A</definedName>
  </definedNames>
  <calcPr calcId="191029"/>
  <pivotCaches>
    <pivotCache cacheId="15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9" l="1"/>
  <c r="J7" i="29"/>
  <c r="J6" i="29"/>
  <c r="J4" i="29"/>
  <c r="B13" i="25"/>
  <c r="E2" i="28"/>
  <c r="E8" i="25" a="1"/>
  <c r="E8" i="25" s="1"/>
  <c r="E5" i="25"/>
  <c r="E2" i="25"/>
  <c r="H1" i="25" s="1"/>
  <c r="B14" i="25" s="1"/>
  <c r="B16" i="25" s="1"/>
  <c r="J3" i="23"/>
  <c r="J6" i="23"/>
  <c r="H3" i="23"/>
  <c r="H5" i="17" a="1"/>
  <c r="H5" i="17" s="1"/>
  <c r="D2" i="16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4" i="12"/>
  <c r="I5" i="9"/>
  <c r="I6" i="9"/>
  <c r="K6" i="9" s="1"/>
  <c r="I7" i="9"/>
  <c r="I8" i="9"/>
  <c r="I9" i="9"/>
  <c r="K9" i="9" s="1"/>
  <c r="I10" i="9"/>
  <c r="I11" i="9"/>
  <c r="I12" i="9"/>
  <c r="K12" i="9" s="1"/>
  <c r="I4" i="9"/>
  <c r="K4" i="9" s="1"/>
  <c r="H5" i="9"/>
  <c r="H6" i="9"/>
  <c r="H7" i="9"/>
  <c r="H8" i="9"/>
  <c r="H9" i="9"/>
  <c r="H10" i="9"/>
  <c r="H11" i="9"/>
  <c r="H12" i="9"/>
  <c r="H4" i="9"/>
  <c r="K5" i="9"/>
  <c r="K7" i="9"/>
  <c r="K8" i="9"/>
  <c r="K10" i="9"/>
  <c r="K11" i="9"/>
  <c r="D5" i="11"/>
  <c r="D6" i="11"/>
  <c r="D7" i="11"/>
  <c r="D8" i="11"/>
  <c r="D9" i="11"/>
  <c r="D10" i="11"/>
  <c r="D11" i="11"/>
  <c r="D12" i="11"/>
  <c r="D4" i="11"/>
  <c r="J11" i="24"/>
  <c r="H23" i="15"/>
  <c r="I23" i="15"/>
  <c r="H20" i="15"/>
  <c r="H17" i="15"/>
  <c r="H14" i="15"/>
  <c r="H11" i="15"/>
  <c r="J7" i="24"/>
  <c r="J6" i="24"/>
  <c r="J5" i="24"/>
  <c r="J4" i="24"/>
  <c r="D8" i="20" a="1"/>
  <c r="D8" i="20" s="1"/>
  <c r="D7" i="20"/>
  <c r="D6" i="20"/>
  <c r="D5" i="20"/>
  <c r="G10" i="7"/>
  <c r="G11" i="7"/>
  <c r="G12" i="7"/>
  <c r="G13" i="7"/>
  <c r="G9" i="7"/>
  <c r="G7" i="7"/>
  <c r="G8" i="7"/>
  <c r="G6" i="7"/>
  <c r="G5" i="7"/>
  <c r="G4" i="7"/>
  <c r="F7" i="7"/>
  <c r="F8" i="7"/>
  <c r="F9" i="7"/>
  <c r="F10" i="7"/>
  <c r="F11" i="7"/>
  <c r="F12" i="7"/>
  <c r="F13" i="7"/>
  <c r="F6" i="7"/>
  <c r="F5" i="7"/>
  <c r="F4" i="7"/>
  <c r="D6" i="7"/>
  <c r="D7" i="7"/>
  <c r="E4" i="7"/>
  <c r="E7" i="7"/>
  <c r="E8" i="7"/>
  <c r="E9" i="7"/>
  <c r="E10" i="7"/>
  <c r="E11" i="7"/>
  <c r="E12" i="7"/>
  <c r="E13" i="7"/>
  <c r="E6" i="7"/>
  <c r="E5" i="7"/>
  <c r="E5" i="2"/>
  <c r="E6" i="2"/>
  <c r="E7" i="2"/>
  <c r="E8" i="2"/>
  <c r="E9" i="2"/>
  <c r="E10" i="2"/>
  <c r="E4" i="2"/>
  <c r="C4" i="18"/>
  <c r="C5" i="18"/>
  <c r="C6" i="18"/>
  <c r="C7" i="18"/>
  <c r="B5" i="18"/>
  <c r="B6" i="18"/>
  <c r="B7" i="18"/>
  <c r="B4" i="18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E9" i="25"/>
  <c r="E3" i="25"/>
  <c r="E6" i="25"/>
  <c r="I17" i="15"/>
  <c r="I11" i="15"/>
  <c r="I20" i="15"/>
  <c r="I14" i="15"/>
  <c r="A9" i="23" l="1" a="1"/>
  <c r="A9" i="23" s="1"/>
  <c r="F12" i="29"/>
  <c r="F11" i="29"/>
  <c r="F10" i="29"/>
  <c r="F9" i="29"/>
  <c r="F8" i="29"/>
  <c r="F7" i="29"/>
  <c r="F6" i="29"/>
  <c r="F5" i="29"/>
  <c r="F4" i="29"/>
  <c r="B9" i="23" l="1"/>
  <c r="E9" i="23"/>
  <c r="D9" i="23"/>
  <c r="C9" i="23"/>
  <c r="F12" i="24"/>
  <c r="F11" i="24"/>
  <c r="F10" i="24"/>
  <c r="F9" i="24"/>
  <c r="F8" i="24"/>
  <c r="F7" i="24"/>
  <c r="F6" i="24"/>
  <c r="F5" i="24"/>
  <c r="F4" i="24"/>
  <c r="D4" i="2" l="1"/>
  <c r="D5" i="2"/>
  <c r="D6" i="2"/>
  <c r="D7" i="2"/>
  <c r="D8" i="2"/>
  <c r="D9" i="2"/>
  <c r="D10" i="2"/>
  <c r="E6" i="23" l="1"/>
  <c r="E5" i="23"/>
  <c r="E4" i="23"/>
  <c r="E3" i="23"/>
  <c r="E6" i="17" l="1"/>
  <c r="E5" i="17"/>
  <c r="E4" i="17"/>
  <c r="E3" i="17"/>
  <c r="E12" i="15" l="1"/>
  <c r="E11" i="15"/>
  <c r="H7" i="15" s="1"/>
  <c r="E10" i="15"/>
  <c r="H6" i="15" s="1"/>
  <c r="E9" i="15"/>
  <c r="H5" i="15" s="1"/>
  <c r="E8" i="15"/>
  <c r="H4" i="15" s="1"/>
  <c r="E7" i="15"/>
  <c r="E6" i="15"/>
  <c r="E5" i="15"/>
  <c r="E4" i="15"/>
  <c r="D8" i="7"/>
  <c r="D9" i="7"/>
  <c r="D10" i="7"/>
  <c r="D11" i="7"/>
  <c r="D12" i="7"/>
  <c r="D13" i="7"/>
  <c r="D5" i="7"/>
  <c r="D4" i="7"/>
  <c r="H8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<sst xmlns="http://schemas.openxmlformats.org/spreadsheetml/2006/main" count="529" uniqueCount="79">
  <si>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</si>
  <si>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</si>
  <si>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</si>
  <si>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</si>
  <si>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</si>
  <si>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</si>
  <si>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</si>
  <si>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</si>
  <si>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Resultado Condicional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</si>
  <si>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</si>
  <si>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</si>
  <si>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</si>
  <si>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</si>
  <si>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</si>
  <si>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</si>
  <si>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</si>
  <si>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</si>
  <si>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Parcelas</t>
  </si>
  <si>
    <t>Valor Total por produto</t>
  </si>
  <si>
    <t>Total Geral</t>
  </si>
  <si>
    <t>Cadastro de Produtos</t>
  </si>
  <si>
    <t>Resultados condicionais</t>
  </si>
  <si>
    <t>Pesquisa por produto</t>
  </si>
  <si>
    <t>Fatura por produto</t>
  </si>
  <si>
    <t xml:space="preserve">Procura por Produto </t>
  </si>
  <si>
    <t>Valor Reajustado</t>
  </si>
  <si>
    <t>Ótimo</t>
  </si>
  <si>
    <t>Bom</t>
  </si>
  <si>
    <t>Resultado (texto)</t>
  </si>
  <si>
    <t>Resultado</t>
  </si>
  <si>
    <t>Valor</t>
  </si>
  <si>
    <t>Resultado (fórmula)</t>
  </si>
  <si>
    <t>Resultado (símbolo)</t>
  </si>
  <si>
    <t>Produtos</t>
  </si>
  <si>
    <t>Posição produto</t>
  </si>
  <si>
    <t>Usando Validação</t>
  </si>
  <si>
    <t>Valor por parcela</t>
  </si>
  <si>
    <t>Posição do produto</t>
  </si>
  <si>
    <t>Linha</t>
  </si>
  <si>
    <t>Coluna</t>
  </si>
  <si>
    <t>Índice</t>
  </si>
  <si>
    <t>Posição da Linha</t>
  </si>
  <si>
    <t>Vendedor</t>
  </si>
  <si>
    <t>Total -  Produto/Vendedor</t>
  </si>
  <si>
    <t>Joaquim</t>
  </si>
  <si>
    <t>Sebastião</t>
  </si>
  <si>
    <t>Francisco</t>
  </si>
  <si>
    <t>Maria</t>
  </si>
  <si>
    <t>Qtd</t>
  </si>
  <si>
    <t>Posição</t>
  </si>
  <si>
    <t>Produto Lista</t>
  </si>
  <si>
    <t>Média de Valores</t>
  </si>
  <si>
    <t>Reajuste</t>
  </si>
  <si>
    <t>Valor com Reajuste</t>
  </si>
  <si>
    <t>MédiaSE</t>
  </si>
  <si>
    <t>%</t>
  </si>
  <si>
    <t>Total -  Produto - Vendedor</t>
  </si>
  <si>
    <t>QTD Total por Produto</t>
  </si>
  <si>
    <t>Produtos Eletrônicos</t>
  </si>
  <si>
    <t>SE</t>
  </si>
  <si>
    <t>PROCV</t>
  </si>
  <si>
    <t>INDICE</t>
  </si>
  <si>
    <t>INDICE/CORRESP</t>
  </si>
  <si>
    <t>Selecione o Produto:</t>
  </si>
  <si>
    <t>Valor Venda</t>
  </si>
  <si>
    <t>Total Venda:</t>
  </si>
  <si>
    <t>Selecione o Produto</t>
  </si>
  <si>
    <t>Selecione o Vendedor</t>
  </si>
  <si>
    <t xml:space="preserve">  </t>
  </si>
  <si>
    <t>Meta Vendas</t>
  </si>
  <si>
    <t>Total vendas</t>
  </si>
  <si>
    <t>Alcançado</t>
  </si>
  <si>
    <t>Objetivo</t>
  </si>
  <si>
    <t>Total Quantidades:</t>
  </si>
  <si>
    <t>Total Produto:</t>
  </si>
  <si>
    <t>Gráfico Coluna Termometro:</t>
  </si>
  <si>
    <t xml:space="preserve"> </t>
  </si>
  <si>
    <t>Soma de Valor Total</t>
  </si>
  <si>
    <t>Rótulos de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</si>
</sst>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74" formatCode="_-&quot;R$&quot;\ * #,##0.0_-;\-&quot;R$&quot;\ * #,##0.0_-;_-&quot;R$&quot;\ * &quot;-&quot;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Wingdings"/>
      <charset val="2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1" xfId="1" applyNumberFormat="1" applyFont="1" applyBorder="1"/>
    <xf numFmtId="4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44" fontId="2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44" fontId="3" fillId="0" borderId="1" xfId="2" applyFont="1" applyBorder="1"/>
    <xf numFmtId="0" fontId="4" fillId="0" borderId="1" xfId="0" applyFont="1" applyBorder="1" applyAlignment="1">
      <alignment horizontal="center" vertical="center" wrapText="1"/>
    </xf>
    <xf numFmtId="44" fontId="4" fillId="0" borderId="1" xfId="2" applyFont="1" applyBorder="1" applyAlignment="1">
      <alignment horizontal="center" vertical="center" wrapText="1"/>
    </xf>
    <xf numFmtId="0" fontId="6" fillId="0" borderId="0" xfId="0" applyFont="1"/>
    <xf numFmtId="0" fontId="3" fillId="0" borderId="1" xfId="0" applyFont="1" applyBorder="1" applyAlignment="1">
      <alignment horizontal="center" vertical="center" wrapText="1"/>
    </xf>
    <xf numFmtId="44" fontId="3" fillId="0" borderId="1" xfId="2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1" xfId="0" applyFont="1" applyBorder="1"/>
    <xf numFmtId="0" fontId="0" fillId="0" borderId="0" xfId="0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/>
    </xf>
    <xf numFmtId="9" fontId="2" fillId="0" borderId="1" xfId="2" applyNumberFormat="1" applyFont="1" applyBorder="1"/>
    <xf numFmtId="0" fontId="8" fillId="0" borderId="1" xfId="0" applyFont="1" applyBorder="1" applyAlignment="1">
      <alignment horizontal="center"/>
    </xf>
    <xf numFmtId="44" fontId="9" fillId="0" borderId="1" xfId="2" applyFont="1" applyBorder="1"/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2" fillId="0" borderId="1" xfId="2" applyFont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4" fontId="2" fillId="0" borderId="6" xfId="2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44" fontId="0" fillId="0" borderId="9" xfId="2" applyFont="1" applyBorder="1"/>
    <xf numFmtId="44" fontId="0" fillId="0" borderId="10" xfId="2" applyFont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10" fontId="0" fillId="0" borderId="1" xfId="0" applyNumberFormat="1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ont="1" applyBorder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1" xfId="0" applyBorder="1"/>
    <xf numFmtId="44" fontId="0" fillId="0" borderId="11" xfId="2" applyFont="1" applyBorder="1"/>
    <xf numFmtId="164" fontId="0" fillId="0" borderId="11" xfId="1" applyNumberFormat="1" applyFont="1" applyBorder="1"/>
    <xf numFmtId="0" fontId="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44" fontId="0" fillId="0" borderId="1" xfId="0" applyNumberFormat="1" applyBorder="1"/>
    <xf numFmtId="44" fontId="5" fillId="0" borderId="1" xfId="2" applyNumberFormat="1" applyFont="1" applyBorder="1"/>
    <xf numFmtId="164" fontId="0" fillId="0" borderId="0" xfId="0" applyNumberFormat="1" applyFill="1" applyBorder="1" applyAlignment="1"/>
    <xf numFmtId="44" fontId="0" fillId="0" borderId="1" xfId="2" applyNumberFormat="1" applyFont="1" applyBorder="1"/>
    <xf numFmtId="44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3" applyNumberFormat="1" applyFont="1" applyBorder="1" applyAlignment="1">
      <alignment horizontal="right"/>
    </xf>
    <xf numFmtId="0" fontId="0" fillId="0" borderId="0" xfId="2" applyNumberFormat="1" applyFont="1"/>
    <xf numFmtId="0" fontId="0" fillId="0" borderId="1" xfId="0" applyBorder="1" applyProtection="1"/>
    <xf numFmtId="164" fontId="0" fillId="0" borderId="1" xfId="1" applyNumberFormat="1" applyFont="1" applyBorder="1" applyProtection="1"/>
    <xf numFmtId="9" fontId="0" fillId="0" borderId="0" xfId="0" applyNumberFormat="1"/>
    <xf numFmtId="10" fontId="0" fillId="0" borderId="0" xfId="0" applyNumberFormat="1"/>
    <xf numFmtId="0" fontId="1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/>
    </xf>
    <xf numFmtId="1" fontId="0" fillId="0" borderId="1" xfId="1" applyNumberFormat="1" applyFont="1" applyBorder="1"/>
    <xf numFmtId="9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174" fontId="0" fillId="0" borderId="0" xfId="0" applyNumberFormat="1"/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70C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70C0"/>
      </font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1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SomaSE!$G$23</c:f>
          <c:strCache>
            <c:ptCount val="1"/>
            <c:pt idx="0">
              <c:v>Celular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A6-4639-AAFD-02B382C7BF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A6-4639-AAFD-02B382C7BFB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SomaSE!$H$22:$I$22</c:f>
              <c:strCache>
                <c:ptCount val="2"/>
                <c:pt idx="0">
                  <c:v>Valor Venda</c:v>
                </c:pt>
                <c:pt idx="1">
                  <c:v>Total Venda:</c:v>
                </c:pt>
              </c:strCache>
            </c:strRef>
          </c:cat>
          <c:val>
            <c:numRef>
              <c:f>SomaSE!$H$23:$I$23</c:f>
              <c:numCache>
                <c:formatCode>_("R$"* #,##0.00_);_("R$"* \(#,##0.00\);_("R$"* "-"??_);_(@_)</c:formatCode>
                <c:ptCount val="2"/>
                <c:pt idx="0">
                  <c:v>158400</c:v>
                </c:pt>
                <c:pt idx="1">
                  <c:v>352700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5-4887-9E9C-A93F3A239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'Indice 1'!$K$2</c:f>
          <c:strCache>
            <c:ptCount val="1"/>
            <c:pt idx="0">
              <c:v>Meta Vendas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'Indice 1'!$J$5</c:f>
              <c:strCache>
                <c:ptCount val="1"/>
                <c:pt idx="0">
                  <c:v>Alcançado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  <a:alpha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'Indice 1'!$J$6</c:f>
              <c:numCache>
                <c:formatCode>0.00%</c:formatCode>
                <c:ptCount val="1"/>
                <c:pt idx="0">
                  <c:v>0.78800000000000003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D-4452-A3CB-AE268B1E2567}"/>
            </c:ext>
          </c:extLst>
        </c:ser>
        <c:ser>
          <c:idx val="1"/>
          <c:order val="1"/>
          <c:tx>
            <c:strRef>
              <c:f>'Indice 1'!$K$5</c:f>
              <c:strCache>
                <c:ptCount val="1"/>
                <c:pt idx="0">
                  <c:v>Objetivo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'Indice 1'!$K$6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D-4452-A3CB-AE268B1E2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819336719"/>
        <c:axId val="1819335055"/>
      </c:barChart>
      <c:catAx>
        <c:axId val="1819336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19335055"/>
        <c:crosses val="autoZero"/>
        <c:auto val="1"/>
        <c:lblAlgn val="ctr"/>
        <c:lblOffset val="100"/>
        <c:noMultiLvlLbl val="0"/>
      </c:catAx>
      <c:valAx>
        <c:axId val="1819335055"/>
        <c:scaling>
          <c:orientation val="minMax"/>
          <c:max val="1"/>
          <c:min val="0.1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9336719"/>
        <c:crosses val="autoZero"/>
        <c:crossBetween val="between"/>
      </c:valAx>
      <c:spPr>
        <a:noFill/>
        <a:ln>
          <a:noFill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25400" algn="tl" rotWithShape="0">
            <a:schemeClr val="accent1">
              <a:alpha val="40000"/>
            </a:schemeClr>
          </a:outerShdw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Escolher!$E$2</c:f>
          <c:strCache>
            <c:ptCount val="1"/>
            <c:pt idx="0">
              <c:v> TV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7857245225094624E-2"/>
          <c:y val="0.25178828565242345"/>
          <c:w val="0.85087853097841837"/>
          <c:h val="0.74310060198439942"/>
        </c:manualLayout>
      </c:layout>
      <c:pieChart>
        <c:varyColors val="1"/>
        <c:ser>
          <c:idx val="0"/>
          <c:order val="0"/>
          <c:spPr>
            <a:effectLst>
              <a:outerShdw blurRad="63500" sx="103000" sy="103000" algn="ctr" rotWithShape="0">
                <a:schemeClr val="accent1">
                  <a:alpha val="43000"/>
                </a:scheme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>
                <a:outerShdw blurRad="63500" sx="103000" sy="103000" algn="ctr" rotWithShape="0">
                  <a:schemeClr val="accent1">
                    <a:alpha val="4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90-4D29-A61C-AB666CECD6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>
                <a:outerShdw blurRad="63500" sx="103000" sy="103000" algn="ctr" rotWithShape="0">
                  <a:schemeClr val="accent1">
                    <a:alpha val="4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C90-4D29-A61C-AB666CECD6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Escolher!$A$13:$A$14</c:f>
              <c:strCache>
                <c:ptCount val="2"/>
                <c:pt idx="0">
                  <c:v>Total Quantidades:</c:v>
                </c:pt>
                <c:pt idx="1">
                  <c:v>Total Produto:</c:v>
                </c:pt>
              </c:strCache>
            </c:strRef>
          </c:cat>
          <c:val>
            <c:numRef>
              <c:f>Escolher!$B$13:$B$14</c:f>
              <c:numCache>
                <c:formatCode>General</c:formatCode>
                <c:ptCount val="2"/>
                <c:pt idx="0">
                  <c:v>2418</c:v>
                </c:pt>
                <c:pt idx="1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0-4D29-A61C-AB666CECD6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Escolher!$E$2</c:f>
          <c:strCache>
            <c:ptCount val="1"/>
            <c:pt idx="0">
              <c:v> TV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Escolher!$A$16</c:f>
              <c:strCache>
                <c:ptCount val="1"/>
                <c:pt idx="0">
                  <c:v>Total Produto: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Escolher!$B$16</c:f>
              <c:numCache>
                <c:formatCode>0%</c:formatCode>
                <c:ptCount val="1"/>
                <c:pt idx="0">
                  <c:v>0.16459884201819686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5B-45FF-9FDF-6F360E5C3B53}"/>
            </c:ext>
          </c:extLst>
        </c:ser>
        <c:ser>
          <c:idx val="1"/>
          <c:order val="1"/>
          <c:tx>
            <c:strRef>
              <c:f>Escolher!$A$17</c:f>
              <c:strCache>
                <c:ptCount val="1"/>
                <c:pt idx="0">
                  <c:v>Gráfico Coluna Termometro: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Escolher!$B$17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5B-45FF-9FDF-6F360E5C3B5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225894400"/>
        <c:axId val="1225894816"/>
      </c:barChart>
      <c:catAx>
        <c:axId val="12258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5894816"/>
        <c:crosses val="autoZero"/>
        <c:auto val="1"/>
        <c:lblAlgn val="ctr"/>
        <c:lblOffset val="100"/>
        <c:noMultiLvlLbl val="0"/>
      </c:catAx>
      <c:valAx>
        <c:axId val="12258948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589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[2_Caixas e Botões de Controles de Formulário.xlsm]Tab_Dinâmica!Tabela dinâmica5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Tab_Dinâmica!$B$3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Tab_Dinâmica!$A$4:$A$8</c:f>
              <c:strCache>
                <c:ptCount val="4"/>
                <c:pt idx="0">
                  <c:v>Francisco</c:v>
                </c:pt>
                <c:pt idx="1">
                  <c:v>Joaquim</c:v>
                </c:pt>
                <c:pt idx="2">
                  <c:v>Maria</c:v>
                </c:pt>
                <c:pt idx="3">
                  <c:v>Sebastião</c:v>
                </c:pt>
              </c:strCache>
            </c:strRef>
          </c:cat>
          <c:val>
            <c:numRef>
              <c:f>Tab_Dinâmica!$B$4:$B$8</c:f>
              <c:numCache>
                <c:formatCode>_-"R$"\ * #,##0.0_-;\-"R$"\ * #,##0.0_-;_-"R$"\ * "-"?_-;_-@_-</c:formatCode>
                <c:ptCount val="4"/>
                <c:pt idx="0">
                  <c:v>224000</c:v>
                </c:pt>
                <c:pt idx="1">
                  <c:v>86400</c:v>
                </c:pt>
                <c:pt idx="2">
                  <c:v>644500</c:v>
                </c:pt>
                <c:pt idx="3">
                  <c:v>375200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4-4DDC-BD2F-CC8C4450EA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08658688"/>
        <c:axId val="1708659520"/>
      </c:barChart>
      <c:catAx>
        <c:axId val="17086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659520"/>
        <c:crosses val="autoZero"/>
        <c:auto val="1"/>
        <c:lblAlgn val="ctr"/>
        <c:lblOffset val="100"/>
        <c:noMultiLvlLbl val="0"/>
      </c:catAx>
      <c:valAx>
        <c:axId val="1708659520"/>
        <c:scaling>
          <c:orientation val="minMax"/>
        </c:scaling>
        <c:delete val="1"/>
        <c:axPos val="l"/>
        <c:numFmt formatCode="_-&quot;R$&quot;\ * #,##0.0_-;\-&quot;R$&quot;\ * #,##0.0_-;_-&quot;R$&quot;\ * &quot;-&quot;?_-;_-@_-" sourceLinked="1"/>
        <c:majorTickMark val="none"/>
        <c:minorTickMark val="none"/>
        <c:tickLblPos val="nextTo"/>
        <c:crossAx val="170865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[2_Caixas e Botões de Controles de Formulário.xlsm]Tab_Dinâmica!Tabela dinâmica6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Tab_Dinâmica!$E$3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Tab_Dinâmica!$D$4:$D$8</c:f>
              <c:strCache>
                <c:ptCount val="4"/>
                <c:pt idx="0">
                  <c:v>Francisco</c:v>
                </c:pt>
                <c:pt idx="1">
                  <c:v>Joaquim</c:v>
                </c:pt>
                <c:pt idx="2">
                  <c:v>Maria</c:v>
                </c:pt>
                <c:pt idx="3">
                  <c:v>Sebastião</c:v>
                </c:pt>
              </c:strCache>
            </c:strRef>
          </c:cat>
          <c:val>
            <c:numRef>
              <c:f>Tab_Dinâmica!$E$4:$E$8</c:f>
              <c:numCache>
                <c:formatCode>0.00%</c:formatCode>
                <c:ptCount val="4"/>
                <c:pt idx="0">
                  <c:v>0.16840839034659047</c:v>
                </c:pt>
                <c:pt idx="1">
                  <c:v>6.4957521990827757E-2</c:v>
                </c:pt>
                <c:pt idx="2">
                  <c:v>0.4845500338320427</c:v>
                </c:pt>
                <c:pt idx="3">
                  <c:v>0.28208405383053908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F-473B-B5E0-D28546AF9A2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C$4" max="20" page="10" val="12"/>
</file>

<file path=xl/ctrlProps/ctrlProp2.xml><?xml version="1.0" encoding="utf-8"?>
<formControlPr xmlns="http://schemas.microsoft.com/office/spreadsheetml/2009/9/main" objectType="Spin" dx="22" fmlaLink="$C$5" max="35" page="10" val="9"/>
</file>

<file path=xl/ctrlProps/ctrlProp3.xml><?xml version="1.0" encoding="utf-8"?>
<formControlPr xmlns="http://schemas.microsoft.com/office/spreadsheetml/2009/9/main" objectType="Spin" dx="22" fmlaLink="$C$6" max="30" page="10" val="10"/>
</file>

<file path=xl/ctrlProps/ctrlProp4.xml><?xml version="1.0" encoding="utf-8"?>
<formControlPr xmlns="http://schemas.microsoft.com/office/spreadsheetml/2009/9/main" objectType="Spin" dx="22" fmlaLink="$C$7" max="30" page="10" val="11"/>
</file>

<file path=xl/ctrlProps/ctrlProp5.xml><?xml version="1.0" encoding="utf-8"?>
<formControlPr xmlns="http://schemas.microsoft.com/office/spreadsheetml/2009/9/main" objectType="Drop" dropStyle="combo" dx="22" fmlaLink="$D$2" fmlaRange="$A$2:$A$5" sel="2" val="0"/>
</file>

<file path=xl/ctrlProps/ctrlProp6.xml><?xml version="1.0" encoding="utf-8"?>
<formControlPr xmlns="http://schemas.microsoft.com/office/spreadsheetml/2009/9/main" objectType="Spin" dx="22" fmlaLink="$C$4" inc="3" max="24" page="10" val="0"/>
</file>

<file path=xl/ctrlProps/ctrlProp7.xml><?xml version="1.0" encoding="utf-8"?>
<formControlPr xmlns="http://schemas.microsoft.com/office/spreadsheetml/2009/9/main" objectType="Spin" dx="22" fmlaLink="$D$2" max="4" min="1" page="10" val="4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476250</xdr:rowOff>
        </xdr:from>
        <xdr:to>
          <xdr:col>2</xdr:col>
          <xdr:colOff>228600</xdr:colOff>
          <xdr:row>3</xdr:row>
          <xdr:rowOff>190500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19050</xdr:rowOff>
        </xdr:from>
        <xdr:to>
          <xdr:col>2</xdr:col>
          <xdr:colOff>238125</xdr:colOff>
          <xdr:row>5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</xdr:colOff>
          <xdr:row>6</xdr:row>
          <xdr:rowOff>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228600</xdr:colOff>
          <xdr:row>6</xdr:row>
          <xdr:rowOff>180975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19050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8658</xdr:colOff>
      <xdr:row>23</xdr:row>
      <xdr:rowOff>77931</xdr:rowOff>
    </xdr:from>
    <xdr:to>
      <xdr:col>9</xdr:col>
      <xdr:colOff>0</xdr:colOff>
      <xdr:row>34</xdr:row>
      <xdr:rowOff>181840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180975</xdr:colOff>
          <xdr:row>3</xdr:row>
          <xdr:rowOff>180975</xdr:rowOff>
        </xdr:to>
        <xdr:sp macro="" textlink="">
          <xdr:nvSpPr>
            <xdr:cNvPr id="15361" name="Spinner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109903</xdr:colOff>
      <xdr:row>3</xdr:row>
      <xdr:rowOff>146537</xdr:rowOff>
    </xdr:from>
    <xdr:to>
      <xdr:col>8</xdr:col>
      <xdr:colOff>582706</xdr:colOff>
      <xdr:row>28</xdr:row>
      <xdr:rowOff>89646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231912</xdr:colOff>
      <xdr:row>9</xdr:row>
      <xdr:rowOff>115955</xdr:rowOff>
    </xdr:from>
    <xdr:to>
      <xdr:col>6</xdr:col>
      <xdr:colOff>530085</xdr:colOff>
      <xdr:row>23</xdr:row>
      <xdr:rowOff>16564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E07BC04-4D3A-461E-8D3B-369E90FB74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530086</xdr:colOff>
      <xdr:row>7</xdr:row>
      <xdr:rowOff>182217</xdr:rowOff>
    </xdr:from>
    <xdr:to>
      <xdr:col>9</xdr:col>
      <xdr:colOff>480390</xdr:colOff>
      <xdr:row>23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CF739B9-5297-4C0E-8F74-7EFA624D3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182217</xdr:colOff>
          <xdr:row>8</xdr:row>
          <xdr:rowOff>57980</xdr:rowOff>
        </xdr:from>
        <xdr:to>
          <xdr:col>9</xdr:col>
          <xdr:colOff>408795</xdr:colOff>
          <xdr:row>10</xdr:row>
          <xdr:rowOff>66264</xdr:rowOff>
        </xdr:to>
        <xdr:sp macro="" textlink="">
          <xdr:nvSpPr>
            <xdr:cNvPr id="17418" name="Spinner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F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47065</xdr:colOff>
      <xdr:row>1</xdr:row>
      <xdr:rowOff>40342</xdr:rowOff>
    </xdr:from>
    <xdr:to>
      <xdr:col>3</xdr:col>
      <xdr:colOff>4481</xdr:colOff>
      <xdr:row>9</xdr:row>
      <xdr:rowOff>145678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Produtos Eletrônicos">
              <a:extLst>
                <a:ext uri="{FF2B5EF4-FFF2-40B4-BE49-F238E27FC236}">
                  <a16:creationId xmlns:a16="http://schemas.microsoft.com/office/drawing/2014/main" id="{8B7E13C1-4EB6-4F82-9FF8-EE39A0F166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s Eletrônico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2779" y="230842"/>
              <a:ext cx="1835202" cy="16293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16806</xdr:colOff>
      <xdr:row>11</xdr:row>
      <xdr:rowOff>1119</xdr:rowOff>
    </xdr:from>
    <xdr:to>
      <xdr:col>4</xdr:col>
      <xdr:colOff>13606</xdr:colOff>
      <xdr:row>30</xdr:row>
      <xdr:rowOff>78440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C8098C7-0BC4-463A-8EA8-4B46438AC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11207</xdr:colOff>
      <xdr:row>11</xdr:row>
      <xdr:rowOff>1121</xdr:rowOff>
    </xdr:from>
    <xdr:to>
      <xdr:col>9</xdr:col>
      <xdr:colOff>1098177</xdr:colOff>
      <xdr:row>30</xdr:row>
      <xdr:rowOff>78441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D18B583-7960-4F5A-AD1B-5F5F99444A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93890</xdr:colOff>
      <xdr:row>0</xdr:row>
      <xdr:rowOff>46265</xdr:rowOff>
    </xdr:from>
    <xdr:to>
      <xdr:col>6</xdr:col>
      <xdr:colOff>235404</xdr:colOff>
      <xdr:row>9</xdr:row>
      <xdr:rowOff>163287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Produtos Eletrônicos 1">
              <a:extLst>
                <a:ext uri="{FF2B5EF4-FFF2-40B4-BE49-F238E27FC236}">
                  <a16:creationId xmlns:a16="http://schemas.microsoft.com/office/drawing/2014/main" id="{64C08F0D-864C-4CC0-B2DE-C7E7C7F32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s Eletrônico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3104" y="46265"/>
              <a:ext cx="1828800" cy="18315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a.cferreira/Desktop/Caderno%20Exerc&#237;cios%20Dashboard%202019/Cap&#237;tulos/Cap&#237;tulo_2/Produtos%20Eletr&#244;nicos%20Cap&#237;tulo%202_Resolvi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e Lista"/>
      <sheetName val="Validação"/>
      <sheetName val="Rept"/>
      <sheetName val="SE"/>
      <sheetName val="SE_Controle"/>
      <sheetName val="SomaSE"/>
      <sheetName val="SomaSES"/>
      <sheetName val="SEERRO"/>
      <sheetName val="Procv"/>
      <sheetName val="Proch"/>
      <sheetName val="Corresp"/>
      <sheetName val="Indice"/>
      <sheetName val="Indice 1"/>
      <sheetName val="Escolher"/>
      <sheetName val="MédiaSE"/>
      <sheetName val="Médi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Celular</v>
          </cell>
        </row>
        <row r="3">
          <cell r="A3" t="str">
            <v>iPad</v>
          </cell>
        </row>
        <row r="4">
          <cell r="A4" t="str">
            <v>Tablet</v>
          </cell>
        </row>
        <row r="5">
          <cell r="A5" t="str">
            <v>TV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ILVA DE OLIVEIRA" refreshedDate="44676.883731944443" createdVersion="7" refreshedVersion="7" minRefreshableVersion="3" recordCount="34" xr:uid="{6DAE2C70-90E4-41B3-9A04-6871950C1100}">
  <cacheSource type="worksheet">
    <worksheetSource ref="A1:F35" sheet="Dados_Tab_Dinâmica"/>
  </cacheSource>
  <cacheFields count="6">
    <cacheField name="Produtos Eletrônicos" numFmtId="0">
      <sharedItems count="4">
        <s v="TV"/>
        <s v="Celular"/>
        <s v="Tablet"/>
        <s v="iPad"/>
      </sharedItems>
    </cacheField>
    <cacheField name="Vendedor" numFmtId="0">
      <sharedItems count="4">
        <s v="Joaquim"/>
        <s v="Sebastião"/>
        <s v="Francisco"/>
        <s v="Maria"/>
      </sharedItems>
    </cacheField>
    <cacheField name="Tela" numFmtId="0">
      <sharedItems count="3">
        <s v="50 Pol"/>
        <s v="10 Pol"/>
        <s v="12 Pol"/>
      </sharedItems>
    </cacheField>
    <cacheField name="Preço Unitário" numFmtId="44">
      <sharedItems containsSemiMixedTypes="0" containsString="0" containsNumber="1" containsInteger="1" minValue="900" maxValue="2200" count="4">
        <n v="1200"/>
        <n v="2200"/>
        <n v="1400"/>
        <n v="900"/>
      </sharedItems>
    </cacheField>
    <cacheField name="Quantidade" numFmtId="164">
      <sharedItems containsSemiMixedTypes="0" containsString="0" containsNumber="1" containsInteger="1" minValue="8" maxValue="55" count="8">
        <n v="10"/>
        <n v="32"/>
        <n v="28"/>
        <n v="40"/>
        <n v="8"/>
        <n v="12"/>
        <n v="55"/>
        <n v="26"/>
      </sharedItems>
    </cacheField>
    <cacheField name="Valor Total" numFmtId="44">
      <sharedItems containsSemiMixedTypes="0" containsString="0" containsNumber="1" containsInteger="1" minValue="9600" maxValue="88000"/>
    </cacheField>
  </cacheFields>
  <extLst>
    <ext xmlns:x14="http://schemas.microsoft.com/office/spreadsheetml/2009/9/main" uri="{725AE2AE-9491-48be-B2B4-4EB974FC3084}">
      <x14:pivotCacheDefinition pivotCacheId="376827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n v="1200"/>
    <n v="10"/>
    <n v="12000"/>
  </r>
  <r>
    <x v="1"/>
    <x v="1"/>
    <x v="1"/>
    <n v="2200"/>
    <n v="32"/>
    <n v="70400"/>
  </r>
  <r>
    <x v="2"/>
    <x v="2"/>
    <x v="2"/>
    <n v="1400"/>
    <n v="28"/>
    <n v="39200"/>
  </r>
  <r>
    <x v="3"/>
    <x v="3"/>
    <x v="1"/>
    <n v="900"/>
    <n v="40"/>
    <n v="36000"/>
  </r>
  <r>
    <x v="0"/>
    <x v="0"/>
    <x v="0"/>
    <n v="1200"/>
    <n v="8"/>
    <n v="9600"/>
  </r>
  <r>
    <x v="1"/>
    <x v="3"/>
    <x v="1"/>
    <n v="2200"/>
    <n v="40"/>
    <n v="88000"/>
  </r>
  <r>
    <x v="2"/>
    <x v="2"/>
    <x v="2"/>
    <n v="1400"/>
    <n v="12"/>
    <n v="16800"/>
  </r>
  <r>
    <x v="3"/>
    <x v="3"/>
    <x v="1"/>
    <n v="900"/>
    <n v="55"/>
    <n v="49500"/>
  </r>
  <r>
    <x v="0"/>
    <x v="1"/>
    <x v="0"/>
    <n v="1200"/>
    <n v="26"/>
    <n v="31200"/>
  </r>
  <r>
    <x v="0"/>
    <x v="0"/>
    <x v="0"/>
    <n v="1200"/>
    <n v="10"/>
    <n v="12000"/>
  </r>
  <r>
    <x v="1"/>
    <x v="1"/>
    <x v="1"/>
    <n v="2200"/>
    <n v="32"/>
    <n v="70400"/>
  </r>
  <r>
    <x v="2"/>
    <x v="2"/>
    <x v="2"/>
    <n v="1400"/>
    <n v="28"/>
    <n v="39200"/>
  </r>
  <r>
    <x v="3"/>
    <x v="3"/>
    <x v="1"/>
    <n v="900"/>
    <n v="40"/>
    <n v="36000"/>
  </r>
  <r>
    <x v="0"/>
    <x v="0"/>
    <x v="0"/>
    <n v="1200"/>
    <n v="8"/>
    <n v="9600"/>
  </r>
  <r>
    <x v="1"/>
    <x v="3"/>
    <x v="1"/>
    <n v="2200"/>
    <n v="40"/>
    <n v="88000"/>
  </r>
  <r>
    <x v="2"/>
    <x v="2"/>
    <x v="2"/>
    <n v="1400"/>
    <n v="12"/>
    <n v="16800"/>
  </r>
  <r>
    <x v="3"/>
    <x v="3"/>
    <x v="1"/>
    <n v="900"/>
    <n v="55"/>
    <n v="49500"/>
  </r>
  <r>
    <x v="0"/>
    <x v="1"/>
    <x v="0"/>
    <n v="1200"/>
    <n v="26"/>
    <n v="31200"/>
  </r>
  <r>
    <x v="0"/>
    <x v="0"/>
    <x v="0"/>
    <n v="1200"/>
    <n v="10"/>
    <n v="12000"/>
  </r>
  <r>
    <x v="1"/>
    <x v="1"/>
    <x v="1"/>
    <n v="2200"/>
    <n v="32"/>
    <n v="70400"/>
  </r>
  <r>
    <x v="2"/>
    <x v="2"/>
    <x v="2"/>
    <n v="1400"/>
    <n v="28"/>
    <n v="39200"/>
  </r>
  <r>
    <x v="3"/>
    <x v="3"/>
    <x v="1"/>
    <n v="900"/>
    <n v="40"/>
    <n v="36000"/>
  </r>
  <r>
    <x v="0"/>
    <x v="0"/>
    <x v="0"/>
    <n v="1200"/>
    <n v="8"/>
    <n v="9600"/>
  </r>
  <r>
    <x v="1"/>
    <x v="3"/>
    <x v="1"/>
    <n v="2200"/>
    <n v="40"/>
    <n v="88000"/>
  </r>
  <r>
    <x v="2"/>
    <x v="2"/>
    <x v="2"/>
    <n v="1400"/>
    <n v="12"/>
    <n v="16800"/>
  </r>
  <r>
    <x v="3"/>
    <x v="3"/>
    <x v="1"/>
    <n v="900"/>
    <n v="55"/>
    <n v="49500"/>
  </r>
  <r>
    <x v="0"/>
    <x v="1"/>
    <x v="0"/>
    <n v="1200"/>
    <n v="26"/>
    <n v="31200"/>
  </r>
  <r>
    <x v="0"/>
    <x v="0"/>
    <x v="0"/>
    <n v="1200"/>
    <n v="10"/>
    <n v="12000"/>
  </r>
  <r>
    <x v="1"/>
    <x v="1"/>
    <x v="1"/>
    <n v="2200"/>
    <n v="32"/>
    <n v="70400"/>
  </r>
  <r>
    <x v="2"/>
    <x v="2"/>
    <x v="2"/>
    <n v="1400"/>
    <n v="28"/>
    <n v="39200"/>
  </r>
  <r>
    <x v="3"/>
    <x v="3"/>
    <x v="1"/>
    <n v="900"/>
    <n v="40"/>
    <n v="36000"/>
  </r>
  <r>
    <x v="0"/>
    <x v="0"/>
    <x v="0"/>
    <n v="1200"/>
    <n v="8"/>
    <n v="9600"/>
  </r>
  <r>
    <x v="1"/>
    <x v="3"/>
    <x v="1"/>
    <n v="2200"/>
    <n v="40"/>
    <n v="88000"/>
  </r>
  <r>
    <x v="2"/>
    <x v="2"/>
    <x v="2"/>
    <n v="1400"/>
    <n v="12"/>
    <n v="1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2B043E-D056-43F5-A7ED-E04608C537AD}" name="Tabela dinâmica6" cacheId="1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D3:E8" firstHeaderRow="1" firstDataRow="1" firstDataCol="1"/>
  <pivotFields count="6">
    <pivotField showAll="0">
      <items count="5">
        <item x="1"/>
        <item x="3"/>
        <item x="2"/>
        <item x="0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>
      <items count="4">
        <item x="1"/>
        <item x="2"/>
        <item x="0"/>
        <item t="default"/>
      </items>
    </pivotField>
    <pivotField numFmtId="44" showAll="0">
      <items count="5">
        <item x="3"/>
        <item x="0"/>
        <item x="2"/>
        <item x="1"/>
        <item t="default"/>
      </items>
    </pivotField>
    <pivotField numFmtId="164" showAll="0">
      <items count="9">
        <item x="4"/>
        <item x="0"/>
        <item x="5"/>
        <item x="7"/>
        <item x="2"/>
        <item x="1"/>
        <item x="3"/>
        <item x="6"/>
        <item t="default"/>
      </items>
    </pivotField>
    <pivotField dataField="1" numFmtId="44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Total" fld="5" showDataAs="percentOfCol" baseField="1" baseItem="1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CD2F7-D203-42CC-8326-52C731732713}" name="Tabela dinâmica5" cacheId="1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3:B8" firstHeaderRow="1" firstDataRow="1" firstDataCol="1"/>
  <pivotFields count="6">
    <pivotField showAll="0">
      <items count="5">
        <item x="1"/>
        <item x="3"/>
        <item x="2"/>
        <item x="0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>
      <items count="4">
        <item x="1"/>
        <item x="2"/>
        <item x="0"/>
        <item t="default"/>
      </items>
    </pivotField>
    <pivotField numFmtId="44" showAll="0"/>
    <pivotField numFmtId="164" showAll="0"/>
    <pivotField dataField="1" numFmtId="44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Total" fld="5" baseField="1" baseItem="0" numFmtId="174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s_Eletrônicos" xr10:uid="{C8765EB9-530E-40D7-AE59-5AEF2CC9F3D9}" sourceName="Produtos Eletrônicos">
  <pivotTables>
    <pivotTable tabId="31" name="Tabela dinâmica5"/>
    <pivotTable tabId="31" name="Tabela dinâmica6"/>
  </pivotTables>
  <data>
    <tabular pivotCacheId="37682708">
      <items count="4">
        <i x="1" s="1"/>
        <i x="3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s_Eletrônicos1" xr10:uid="{CF324F11-6755-4130-912B-2FAA887FFCEE}" sourceName="Produtos Eletrônicos">
  <data>
    <tabular pivotCacheId="37682708">
      <items count="4">
        <i x="1" s="1"/>
        <i x="3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s Eletrônicos" xr10:uid="{EAF7B6FA-DB16-49CB-8AAD-81A9A6A0BCA5}" cache="SegmentaçãodeDados_Produtos_Eletrônicos" caption="Produtos Eletrônicos" rowHeight="241300"/>
  <slicer name="Produtos Eletrônicos 1" xr10:uid="{4ACAFCFE-944F-488B-B929-B5565789F6B8}" cache="SegmentaçãodeDados_Produtos_Eletrônicos1" caption="Produtos Eletrônicos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/>
  <dimension ref="A1:D8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70" t="s">
        <v>20</v>
      </c>
      <c r="B1" s="70"/>
      <c r="C1" s="70"/>
    </row>
    <row r="2" spans="1:3" x14ac:dyDescent="0.25">
      <c r="A2" s="71"/>
      <c r="B2" s="72"/>
      <c r="C2" s="72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  <row r="8" spans="1:3" x14ac:dyDescent="0.25">
      <c r="A8" s="42" t="s">
        <v>51</v>
      </c>
      <c r="B8" s="4"/>
      <c r="C8" s="4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D9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9.7109375" style="1" bestFit="1" customWidth="1"/>
  </cols>
  <sheetData>
    <row r="1" spans="1:4" ht="21" x14ac:dyDescent="0.35">
      <c r="A1" s="70" t="s">
        <v>20</v>
      </c>
      <c r="B1" s="70"/>
      <c r="C1" s="70"/>
      <c r="D1" s="70"/>
    </row>
    <row r="2" spans="1:4" x14ac:dyDescent="0.25">
      <c r="A2" s="73"/>
      <c r="B2" s="73"/>
      <c r="C2" s="73"/>
      <c r="D2" s="73"/>
    </row>
    <row r="3" spans="1:4" x14ac:dyDescent="0.25">
      <c r="A3" s="2" t="s">
        <v>0</v>
      </c>
      <c r="B3" s="2" t="s">
        <v>12</v>
      </c>
      <c r="C3" s="3" t="s">
        <v>16</v>
      </c>
      <c r="D3" s="3" t="s">
        <v>53</v>
      </c>
    </row>
    <row r="4" spans="1:4" x14ac:dyDescent="0.25">
      <c r="A4" s="4" t="s">
        <v>3</v>
      </c>
      <c r="B4" s="4" t="s">
        <v>14</v>
      </c>
      <c r="C4" s="5">
        <v>2200</v>
      </c>
      <c r="D4" s="5"/>
    </row>
    <row r="5" spans="1:4" x14ac:dyDescent="0.25">
      <c r="A5" s="4" t="s">
        <v>5</v>
      </c>
      <c r="B5" s="4" t="s">
        <v>14</v>
      </c>
      <c r="C5" s="5">
        <v>900</v>
      </c>
      <c r="D5" s="5"/>
    </row>
    <row r="6" spans="1:4" x14ac:dyDescent="0.25">
      <c r="A6" s="4" t="s">
        <v>4</v>
      </c>
      <c r="B6" s="4" t="s">
        <v>15</v>
      </c>
      <c r="C6" s="5">
        <v>1400</v>
      </c>
      <c r="D6" s="5"/>
    </row>
    <row r="7" spans="1:4" x14ac:dyDescent="0.25">
      <c r="A7" s="4" t="s">
        <v>2</v>
      </c>
      <c r="B7" s="4" t="s">
        <v>13</v>
      </c>
      <c r="C7" s="5">
        <v>1200</v>
      </c>
      <c r="D7" s="5"/>
    </row>
    <row r="8" spans="1:4" x14ac:dyDescent="0.25">
      <c r="A8" s="42" t="s">
        <v>52</v>
      </c>
      <c r="B8" s="44"/>
      <c r="C8" s="44"/>
    </row>
    <row r="9" spans="1:4" x14ac:dyDescent="0.25">
      <c r="A9" s="43">
        <v>0.105</v>
      </c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7"/>
  <sheetViews>
    <sheetView zoomScale="130" zoomScaleNormal="130" workbookViewId="0">
      <selection activeCell="C4" sqref="C4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70" t="s">
        <v>20</v>
      </c>
      <c r="B1" s="70"/>
      <c r="C1" s="70"/>
    </row>
    <row r="2" spans="1:3" x14ac:dyDescent="0.25">
      <c r="A2" s="71"/>
      <c r="B2" s="72"/>
      <c r="C2" s="72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C7"/>
  <sheetViews>
    <sheetView zoomScale="130" zoomScaleNormal="130" workbookViewId="0">
      <selection activeCell="B10" sqref="B10"/>
    </sheetView>
  </sheetViews>
  <sheetFormatPr defaultColWidth="11.85546875" defaultRowHeight="15" x14ac:dyDescent="0.25"/>
  <cols>
    <col min="1" max="3" width="16.5703125" customWidth="1"/>
  </cols>
  <sheetData>
    <row r="1" spans="1:3" ht="23.25" x14ac:dyDescent="0.35">
      <c r="A1" s="74" t="s">
        <v>20</v>
      </c>
      <c r="B1" s="74"/>
      <c r="C1" s="74"/>
    </row>
    <row r="2" spans="1:3" x14ac:dyDescent="0.25">
      <c r="A2" s="71"/>
      <c r="B2" s="72"/>
      <c r="C2" s="75"/>
    </row>
    <row r="3" spans="1:3" s="20" customFormat="1" ht="37.5" x14ac:dyDescent="0.25">
      <c r="A3" s="15" t="s">
        <v>0</v>
      </c>
      <c r="B3" s="15" t="s">
        <v>12</v>
      </c>
      <c r="C3" s="16" t="s">
        <v>16</v>
      </c>
    </row>
    <row r="4" spans="1:3" x14ac:dyDescent="0.25">
      <c r="A4" s="4" t="s">
        <v>3</v>
      </c>
      <c r="B4" s="56" t="str">
        <f>IFERROR(VLOOKUP(A4,'Nome Lista'!$A$4:$C$7,2,0),"")</f>
        <v>10 Pol</v>
      </c>
      <c r="C4" s="57">
        <f>VLOOKUP(A4,'Nome Lista'!A4:C7,3,0)</f>
        <v>2200</v>
      </c>
    </row>
    <row r="5" spans="1:3" x14ac:dyDescent="0.25">
      <c r="A5" s="4" t="s">
        <v>5</v>
      </c>
      <c r="B5" s="56" t="str">
        <f>IFERROR(VLOOKUP(A5,'Nome Lista'!$A$4:$C$7,2,0),"")</f>
        <v>10 Pol</v>
      </c>
      <c r="C5" s="57">
        <f>IFERROR(VLOOKUP(A5,'Nome Lista'!$A$4:$C$7,3,0),"")</f>
        <v>900</v>
      </c>
    </row>
    <row r="6" spans="1:3" x14ac:dyDescent="0.25">
      <c r="A6" s="4" t="s">
        <v>4</v>
      </c>
      <c r="B6" s="56" t="str">
        <f>IFERROR(VLOOKUP(A6,'Nome Lista'!$A$4:$C$7,2,0),"")</f>
        <v>12 Pol</v>
      </c>
      <c r="C6" s="57">
        <f>IFERROR(VLOOKUP(A6,'Nome Lista'!$A$4:$C$7,3,0),"")</f>
        <v>1400</v>
      </c>
    </row>
    <row r="7" spans="1:3" x14ac:dyDescent="0.25">
      <c r="A7" s="4" t="s">
        <v>2</v>
      </c>
      <c r="B7" s="56" t="str">
        <f>IFERROR(VLOOKUP(A7,'Nome Lista'!$A$4:$C$7,2,0),"")</f>
        <v>50 Pol</v>
      </c>
      <c r="C7" s="57">
        <f>IFERROR(VLOOKUP(A7,'Nome Lista'!$A$4:$C$7,3,0),"")</f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Erro" error="Selecionar somente os dados da lista permitida." promptTitle="Importante:" prompt="Somente serão aceitos registros de acordo com a opções fornecidas." xr:uid="{C435D192-4E27-4836-BECD-FF067D73DF24}">
          <x14:formula1>
            <xm:f>'Nome Lista'!$A$4:$A$7</xm:f>
          </x14:formula1>
          <xm:sqref>A4:A7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E10"/>
  <sheetViews>
    <sheetView zoomScale="160" zoomScaleNormal="160" workbookViewId="0">
      <selection activeCell="C9" sqref="C9"/>
    </sheetView>
  </sheetViews>
  <sheetFormatPr defaultRowHeight="15" x14ac:dyDescent="0.25"/>
  <cols>
    <col min="1" max="1" width="17" customWidth="1"/>
    <col min="2" max="2" width="15.28515625" style="1" bestFit="1" customWidth="1"/>
    <col min="3" max="3" width="14.7109375" style="1" bestFit="1" customWidth="1"/>
    <col min="4" max="4" width="13.7109375" bestFit="1" customWidth="1"/>
    <col min="5" max="5" width="27.85546875" bestFit="1" customWidth="1"/>
  </cols>
  <sheetData>
    <row r="1" spans="1:5" ht="23.25" x14ac:dyDescent="0.35">
      <c r="A1" s="74" t="s">
        <v>8</v>
      </c>
      <c r="B1" s="74"/>
      <c r="C1" s="74"/>
      <c r="D1" s="74"/>
      <c r="E1" s="74"/>
    </row>
    <row r="2" spans="1:5" x14ac:dyDescent="0.25">
      <c r="A2" s="73"/>
      <c r="B2" s="73"/>
      <c r="C2" s="73"/>
      <c r="D2" s="73"/>
      <c r="E2" s="73"/>
    </row>
    <row r="3" spans="1:5" ht="37.5" x14ac:dyDescent="0.25">
      <c r="A3" s="15" t="s">
        <v>0</v>
      </c>
      <c r="B3" s="16" t="s">
        <v>16</v>
      </c>
      <c r="C3" s="16" t="s">
        <v>1</v>
      </c>
      <c r="D3" s="15" t="s">
        <v>7</v>
      </c>
      <c r="E3" s="15" t="s">
        <v>8</v>
      </c>
    </row>
    <row r="4" spans="1:5" x14ac:dyDescent="0.25">
      <c r="A4" s="4" t="s">
        <v>2</v>
      </c>
      <c r="B4" s="5">
        <v>1200</v>
      </c>
      <c r="C4" s="6">
        <v>12</v>
      </c>
      <c r="D4" s="5">
        <f>B4*C4</f>
        <v>14400</v>
      </c>
      <c r="E4" s="4" t="str">
        <f>REPT("I",C4)</f>
        <v>IIIIIIIIIIII</v>
      </c>
    </row>
    <row r="5" spans="1:5" x14ac:dyDescent="0.25">
      <c r="A5" s="4" t="s">
        <v>3</v>
      </c>
      <c r="B5" s="5">
        <v>2200</v>
      </c>
      <c r="C5" s="6">
        <v>9</v>
      </c>
      <c r="D5" s="5">
        <f t="shared" ref="D5:D7" si="0">B5*C5</f>
        <v>19800</v>
      </c>
      <c r="E5" s="4" t="str">
        <f t="shared" ref="E5:E10" si="1">REPT("I",C5)</f>
        <v>IIIIIIIII</v>
      </c>
    </row>
    <row r="6" spans="1:5" x14ac:dyDescent="0.25">
      <c r="A6" s="4" t="s">
        <v>4</v>
      </c>
      <c r="B6" s="5">
        <v>1400</v>
      </c>
      <c r="C6" s="6">
        <v>10</v>
      </c>
      <c r="D6" s="5">
        <f t="shared" si="0"/>
        <v>14000</v>
      </c>
      <c r="E6" s="4" t="str">
        <f t="shared" si="1"/>
        <v>IIIIIIIIII</v>
      </c>
    </row>
    <row r="7" spans="1:5" x14ac:dyDescent="0.25">
      <c r="A7" s="4" t="s">
        <v>5</v>
      </c>
      <c r="B7" s="5">
        <v>900</v>
      </c>
      <c r="C7" s="6">
        <v>11</v>
      </c>
      <c r="D7" s="5">
        <f t="shared" si="0"/>
        <v>9900</v>
      </c>
      <c r="E7" s="4" t="str">
        <f t="shared" si="1"/>
        <v>IIIIIIIIIII</v>
      </c>
    </row>
    <row r="8" spans="1:5" x14ac:dyDescent="0.25">
      <c r="A8" s="4" t="s">
        <v>2</v>
      </c>
      <c r="B8" s="5">
        <v>1200</v>
      </c>
      <c r="C8" s="6">
        <v>10</v>
      </c>
      <c r="D8" s="5">
        <f>B8*C8</f>
        <v>12000</v>
      </c>
      <c r="E8" s="4" t="str">
        <f t="shared" si="1"/>
        <v>IIIIIIIIII</v>
      </c>
    </row>
    <row r="9" spans="1:5" x14ac:dyDescent="0.25">
      <c r="A9" s="4" t="s">
        <v>3</v>
      </c>
      <c r="B9" s="5">
        <v>2200</v>
      </c>
      <c r="C9" s="6">
        <v>9</v>
      </c>
      <c r="D9" s="5">
        <f t="shared" ref="D9:D10" si="2">B9*C9</f>
        <v>19800</v>
      </c>
      <c r="E9" s="4" t="str">
        <f t="shared" si="1"/>
        <v>IIIIIIIII</v>
      </c>
    </row>
    <row r="10" spans="1:5" x14ac:dyDescent="0.25">
      <c r="A10" s="4" t="s">
        <v>4</v>
      </c>
      <c r="B10" s="5">
        <v>1400</v>
      </c>
      <c r="C10" s="6">
        <v>10</v>
      </c>
      <c r="D10" s="5">
        <f t="shared" si="2"/>
        <v>14000</v>
      </c>
      <c r="E10" s="4" t="str">
        <f t="shared" si="1"/>
        <v>IIIIIIIIII</v>
      </c>
    </row>
  </sheetData>
  <mergeCells count="2">
    <mergeCell ref="A2:E2"/>
    <mergeCell ref="A1:E1"/>
  </mergeCells>
  <conditionalFormatting sqref="E4:E10">
    <cfRule type="cellIs" dxfId="10" priority="5" operator="equal">
      <formula>$A$9</formula>
    </cfRule>
  </conditionalFormatting>
  <conditionalFormatting sqref="C4:C10">
    <cfRule type="cellIs" dxfId="9" priority="1" stopIfTrue="1" operator="lessThan">
      <formula>10</formula>
    </cfRule>
    <cfRule type="cellIs" dxfId="8" priority="2" stopIfTrue="1" operator="greaterThan">
      <formula>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>
                <anchor moveWithCells="1" sizeWithCells="1">
                  <from>
                    <xdr:col>2</xdr:col>
                    <xdr:colOff>9525</xdr:colOff>
                    <xdr:row>2</xdr:row>
                    <xdr:rowOff>476250</xdr:rowOff>
                  </from>
                  <to>
                    <xdr:col>2</xdr:col>
                    <xdr:colOff>228600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Spinner 2">
              <controlPr defaultSize="0" autoPict="0">
                <anchor moveWithCells="1" sizeWithCells="1">
                  <from>
                    <xdr:col>2</xdr:col>
                    <xdr:colOff>0</xdr:colOff>
                    <xdr:row>4</xdr:row>
                    <xdr:rowOff>19050</xdr:rowOff>
                  </from>
                  <to>
                    <xdr:col>2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pinner 3">
              <controlPr defaultSize="0" autoPict="0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pinner 4">
              <controlPr defaultSize="0" autoPict="0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228600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G18"/>
  <sheetViews>
    <sheetView zoomScale="110" zoomScaleNormal="110" workbookViewId="0">
      <selection activeCell="J16" sqref="J16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5.28515625" style="1" customWidth="1"/>
    <col min="4" max="4" width="15.28515625" customWidth="1"/>
    <col min="5" max="5" width="21" bestFit="1" customWidth="1"/>
    <col min="6" max="6" width="14.28515625" style="1" bestFit="1" customWidth="1"/>
    <col min="7" max="7" width="13.85546875" bestFit="1" customWidth="1"/>
  </cols>
  <sheetData>
    <row r="1" spans="1:7" ht="26.25" x14ac:dyDescent="0.4">
      <c r="A1" s="76" t="s">
        <v>21</v>
      </c>
      <c r="B1" s="76"/>
      <c r="C1" s="76"/>
      <c r="D1" s="76"/>
      <c r="E1" s="76"/>
      <c r="F1" s="76"/>
      <c r="G1" s="76"/>
    </row>
    <row r="2" spans="1:7" x14ac:dyDescent="0.25">
      <c r="A2" s="73"/>
      <c r="B2" s="73"/>
      <c r="C2" s="73"/>
      <c r="D2" s="73"/>
      <c r="E2" s="73"/>
      <c r="F2" s="73"/>
      <c r="G2" s="73"/>
    </row>
    <row r="3" spans="1:7" s="17" customFormat="1" ht="37.5" x14ac:dyDescent="0.3">
      <c r="A3" s="15" t="s">
        <v>0</v>
      </c>
      <c r="B3" s="16" t="s">
        <v>16</v>
      </c>
      <c r="C3" s="16" t="s">
        <v>1</v>
      </c>
      <c r="D3" s="15" t="s">
        <v>7</v>
      </c>
      <c r="E3" s="15" t="s">
        <v>28</v>
      </c>
      <c r="F3" s="16" t="s">
        <v>31</v>
      </c>
      <c r="G3" s="15" t="s">
        <v>32</v>
      </c>
    </row>
    <row r="4" spans="1:7" ht="18" x14ac:dyDescent="0.25">
      <c r="A4" s="4" t="s">
        <v>2</v>
      </c>
      <c r="B4" s="5">
        <v>1200</v>
      </c>
      <c r="C4" s="6">
        <v>9</v>
      </c>
      <c r="D4" s="5">
        <f>B4*C4</f>
        <v>10800</v>
      </c>
      <c r="E4" s="4" t="str">
        <f>IF(C4&gt;=$A$16,$B$16,IF(C4&gt;=$A$17,$B$17,"Precisa Melhorar"))</f>
        <v>Precisa Melhorar</v>
      </c>
      <c r="F4" s="5">
        <f>IF(D4&gt;=$C$16,D4*$C$17,D4*$C$18)</f>
        <v>432</v>
      </c>
      <c r="G4" s="26" t="str">
        <f>IF(E4=$B$16,$D$16,IF(E4=$B$17,$D$17,$D$18))</f>
        <v>L</v>
      </c>
    </row>
    <row r="5" spans="1:7" ht="18" x14ac:dyDescent="0.25">
      <c r="A5" s="4" t="s">
        <v>3</v>
      </c>
      <c r="B5" s="5">
        <v>2200</v>
      </c>
      <c r="C5" s="6">
        <v>15</v>
      </c>
      <c r="D5" s="5">
        <f t="shared" ref="D5:D13" si="0">B5*C5</f>
        <v>33000</v>
      </c>
      <c r="E5" s="4" t="str">
        <f>IF(C5&gt;=$A$16,$B$16,IF(C5&gt;=$A$17,$B$17,"Precisa Melhorar"))</f>
        <v>Precisa Melhorar</v>
      </c>
      <c r="F5" s="5">
        <f>IF(D5&gt;=$C$16,D5*$C$17,D5*$C$18)</f>
        <v>1320</v>
      </c>
      <c r="G5" s="26" t="str">
        <f t="shared" ref="G5" si="1">IF(E5=$B$16,$D$16,IF(E5=$B$17,$D$17,$D$18))</f>
        <v>L</v>
      </c>
    </row>
    <row r="6" spans="1:7" ht="18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4" t="str">
        <f>IF(C6&gt;=$A$16,$B$16,IF(C6&gt;=$A$17,$B$17,"Precisa Melhorar"))</f>
        <v>Ótimo</v>
      </c>
      <c r="F6" s="5">
        <f>IF(D6&gt;=$C$16,D6*$C$17,D6*$C$18)</f>
        <v>9898.0000000000018</v>
      </c>
      <c r="G6" s="26" t="str">
        <f>IF(E6=$B$16,$D$16,IF(E6=$B$17,$D$17,$D$18))</f>
        <v>J</v>
      </c>
    </row>
    <row r="7" spans="1:7" ht="18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4" t="str">
        <f t="shared" ref="E7:E13" si="2">IF(C7&gt;=$A$16,$B$16,IF(C7&gt;=$A$17,$B$17,"Precisa Melhorar"))</f>
        <v>Precisa Melhorar</v>
      </c>
      <c r="F7" s="5">
        <f t="shared" ref="F7:F13" si="3">IF(D7&gt;=$C$16,D7*$C$17,D7*$C$18)</f>
        <v>1116</v>
      </c>
      <c r="G7" s="26" t="str">
        <f t="shared" ref="G7:G8" si="4">IF(E7=$B$16,$D$16,IF(E7=$B$17,$D$17,$D$18))</f>
        <v>L</v>
      </c>
    </row>
    <row r="8" spans="1:7" ht="18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4" t="str">
        <f t="shared" si="2"/>
        <v>Precisa Melhorar</v>
      </c>
      <c r="F8" s="5">
        <f t="shared" si="3"/>
        <v>384</v>
      </c>
      <c r="G8" s="26" t="str">
        <f t="shared" si="4"/>
        <v>L</v>
      </c>
    </row>
    <row r="9" spans="1:7" ht="18" x14ac:dyDescent="0.25">
      <c r="A9" s="4" t="s">
        <v>3</v>
      </c>
      <c r="B9" s="5">
        <v>2200</v>
      </c>
      <c r="C9" s="6">
        <v>120</v>
      </c>
      <c r="D9" s="5">
        <f t="shared" si="0"/>
        <v>264000</v>
      </c>
      <c r="E9" s="4" t="str">
        <f t="shared" si="2"/>
        <v>Ótimo</v>
      </c>
      <c r="F9" s="5">
        <f t="shared" si="3"/>
        <v>18480</v>
      </c>
      <c r="G9" s="26" t="str">
        <f>IF(E9=$B$16,$D$16,IF(E9=$B$17,$D$17,$D$18))</f>
        <v>J</v>
      </c>
    </row>
    <row r="10" spans="1:7" ht="18" x14ac:dyDescent="0.25">
      <c r="A10" s="4" t="s">
        <v>4</v>
      </c>
      <c r="B10" s="5">
        <v>1400</v>
      </c>
      <c r="C10" s="6">
        <v>12</v>
      </c>
      <c r="D10" s="5">
        <f t="shared" si="0"/>
        <v>16800</v>
      </c>
      <c r="E10" s="4" t="str">
        <f t="shared" si="2"/>
        <v>Precisa Melhorar</v>
      </c>
      <c r="F10" s="5">
        <f t="shared" si="3"/>
        <v>672</v>
      </c>
      <c r="G10" s="26" t="str">
        <f t="shared" ref="G10:G13" si="5">IF(E10=$B$16,$D$16,IF(E10=$B$17,$D$17,$D$18))</f>
        <v>L</v>
      </c>
    </row>
    <row r="11" spans="1:7" ht="18" x14ac:dyDescent="0.25">
      <c r="A11" s="4" t="s">
        <v>5</v>
      </c>
      <c r="B11" s="5">
        <v>900</v>
      </c>
      <c r="C11" s="6">
        <v>55</v>
      </c>
      <c r="D11" s="5">
        <f t="shared" si="0"/>
        <v>49500</v>
      </c>
      <c r="E11" s="4" t="str">
        <f t="shared" si="2"/>
        <v>Bom</v>
      </c>
      <c r="F11" s="5">
        <f t="shared" si="3"/>
        <v>1980</v>
      </c>
      <c r="G11" s="26" t="str">
        <f t="shared" si="5"/>
        <v>K</v>
      </c>
    </row>
    <row r="12" spans="1:7" ht="18" x14ac:dyDescent="0.25">
      <c r="A12" s="4" t="s">
        <v>2</v>
      </c>
      <c r="B12" s="5">
        <v>1200</v>
      </c>
      <c r="C12" s="6">
        <v>200</v>
      </c>
      <c r="D12" s="5">
        <f t="shared" si="0"/>
        <v>240000</v>
      </c>
      <c r="E12" s="4" t="str">
        <f t="shared" si="2"/>
        <v>Ótimo</v>
      </c>
      <c r="F12" s="5">
        <f t="shared" si="3"/>
        <v>16800</v>
      </c>
      <c r="G12" s="26" t="str">
        <f t="shared" si="5"/>
        <v>J</v>
      </c>
    </row>
    <row r="13" spans="1:7" ht="18" x14ac:dyDescent="0.25">
      <c r="A13" s="4" t="s">
        <v>3</v>
      </c>
      <c r="B13" s="5">
        <v>2200</v>
      </c>
      <c r="C13" s="6">
        <v>30</v>
      </c>
      <c r="D13" s="5">
        <f t="shared" si="0"/>
        <v>66000</v>
      </c>
      <c r="E13" s="4" t="str">
        <f t="shared" si="2"/>
        <v>Precisa Melhorar</v>
      </c>
      <c r="F13" s="5">
        <f t="shared" si="3"/>
        <v>2640</v>
      </c>
      <c r="G13" s="26" t="str">
        <f t="shared" si="5"/>
        <v>L</v>
      </c>
    </row>
    <row r="15" spans="1:7" x14ac:dyDescent="0.25">
      <c r="A15" s="2" t="s">
        <v>1</v>
      </c>
      <c r="B15" s="3" t="s">
        <v>29</v>
      </c>
      <c r="C15" s="3" t="s">
        <v>30</v>
      </c>
      <c r="D15" s="2" t="s">
        <v>29</v>
      </c>
    </row>
    <row r="16" spans="1:7" ht="18" x14ac:dyDescent="0.25">
      <c r="A16" s="2">
        <v>100</v>
      </c>
      <c r="B16" s="3" t="s">
        <v>26</v>
      </c>
      <c r="C16" s="3">
        <v>100000</v>
      </c>
      <c r="D16" s="27" t="s">
        <v>9</v>
      </c>
    </row>
    <row r="17" spans="1:4" ht="18" x14ac:dyDescent="0.25">
      <c r="A17" s="2">
        <v>50</v>
      </c>
      <c r="B17" s="3" t="s">
        <v>27</v>
      </c>
      <c r="C17" s="25">
        <v>7.0000000000000007E-2</v>
      </c>
      <c r="D17" s="27" t="s">
        <v>10</v>
      </c>
    </row>
    <row r="18" spans="1:4" ht="18" x14ac:dyDescent="0.25">
      <c r="A18" s="2"/>
      <c r="B18" s="3"/>
      <c r="C18" s="25">
        <v>0.04</v>
      </c>
      <c r="D18" s="27" t="s">
        <v>11</v>
      </c>
    </row>
  </sheetData>
  <mergeCells count="2">
    <mergeCell ref="A2:G2"/>
    <mergeCell ref="A1:G1"/>
  </mergeCells>
  <conditionalFormatting sqref="E4:F13">
    <cfRule type="cellIs" dxfId="7" priority="5" operator="equal">
      <formula>"I"</formula>
    </cfRule>
    <cfRule type="cellIs" dxfId="6" priority="9" operator="equal">
      <formula>$A$9</formula>
    </cfRule>
  </conditionalFormatting>
  <conditionalFormatting sqref="G4:G13">
    <cfRule type="cellIs" dxfId="5" priority="19" operator="equal">
      <formula>$D$18</formula>
    </cfRule>
    <cfRule type="cellIs" dxfId="4" priority="20" operator="equal">
      <formula>$D$17</formula>
    </cfRule>
    <cfRule type="cellIs" dxfId="3" priority="21" operator="equal">
      <formula>$D$16</formula>
    </cfRule>
  </conditionalFormatting>
  <conditionalFormatting sqref="E4:E13">
    <cfRule type="containsText" dxfId="2" priority="1" operator="containsText" text="Bom">
      <formula>NOT(ISERROR(SEARCH("Bom",E4)))</formula>
    </cfRule>
    <cfRule type="cellIs" dxfId="1" priority="2" operator="equal">
      <formula>"Precisa Melhorar"</formula>
    </cfRule>
    <cfRule type="cellIs" dxfId="0" priority="4" operator="equal">
      <formula>"Ótimo"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G8"/>
  <sheetViews>
    <sheetView zoomScale="160" zoomScaleNormal="160" workbookViewId="0">
      <selection activeCell="B8" sqref="B8"/>
    </sheetView>
  </sheetViews>
  <sheetFormatPr defaultRowHeight="15" x14ac:dyDescent="0.25"/>
  <cols>
    <col min="1" max="1" width="17.140625" bestFit="1" customWidth="1"/>
    <col min="2" max="2" width="13.5703125" style="1" bestFit="1" customWidth="1"/>
    <col min="3" max="3" width="16" bestFit="1" customWidth="1"/>
    <col min="4" max="4" width="17.85546875" bestFit="1" customWidth="1"/>
    <col min="6" max="6" width="9.140625" customWidth="1"/>
  </cols>
  <sheetData>
    <row r="1" spans="1:7" x14ac:dyDescent="0.25">
      <c r="A1" s="2" t="s">
        <v>33</v>
      </c>
      <c r="B1" s="3" t="s">
        <v>6</v>
      </c>
      <c r="D1" s="24" t="s">
        <v>34</v>
      </c>
      <c r="F1" s="47" t="s">
        <v>49</v>
      </c>
      <c r="G1" s="47" t="s">
        <v>55</v>
      </c>
    </row>
    <row r="2" spans="1:7" x14ac:dyDescent="0.25">
      <c r="A2" s="49" t="s">
        <v>2</v>
      </c>
      <c r="B2" s="5">
        <v>1200</v>
      </c>
      <c r="C2" s="23"/>
      <c r="D2" s="4">
        <v>2</v>
      </c>
      <c r="F2" s="4">
        <v>1</v>
      </c>
      <c r="G2" s="4">
        <v>1.1000000000000001</v>
      </c>
    </row>
    <row r="3" spans="1:7" x14ac:dyDescent="0.25">
      <c r="A3" s="4" t="s">
        <v>3</v>
      </c>
      <c r="B3" s="5">
        <v>2200</v>
      </c>
      <c r="C3" s="23"/>
      <c r="F3" s="4">
        <v>2</v>
      </c>
      <c r="G3" s="4">
        <v>1.2</v>
      </c>
    </row>
    <row r="4" spans="1:7" ht="15.75" x14ac:dyDescent="0.25">
      <c r="A4" s="4" t="s">
        <v>4</v>
      </c>
      <c r="B4" s="5">
        <v>1400</v>
      </c>
      <c r="C4" s="23"/>
      <c r="D4" s="48" t="s">
        <v>25</v>
      </c>
      <c r="F4" s="4">
        <v>3</v>
      </c>
      <c r="G4" s="4">
        <v>1.5</v>
      </c>
    </row>
    <row r="5" spans="1:7" ht="15.75" x14ac:dyDescent="0.25">
      <c r="A5" s="4" t="s">
        <v>5</v>
      </c>
      <c r="B5" s="5">
        <v>900</v>
      </c>
      <c r="C5" s="23" t="s">
        <v>59</v>
      </c>
      <c r="D5" s="58">
        <f>IF(D2=F2,B2+B2*G2,IF(D2=F3,B3+B3*G3,IF(D2=F4,B4+B4*G4,IF(D2=F5,B5+B5*G5,"Produto Invalido"))))</f>
        <v>4840</v>
      </c>
      <c r="F5" s="4">
        <v>4</v>
      </c>
      <c r="G5" s="4">
        <v>1.8</v>
      </c>
    </row>
    <row r="6" spans="1:7" x14ac:dyDescent="0.25">
      <c r="C6" t="s">
        <v>60</v>
      </c>
      <c r="D6" s="57">
        <f>IF(D2=1,VLOOKUP(D2,F2:G5,2,0)*B2+B2,IF(D2=2,VLOOKUP(D2,F2:G5,2,0)*B3+B3,IF(D2=3,VLOOKUP(D2,F2:G5,2,0)*B4+B4,IF(D2=4,VLOOKUP(D2,F2:G5,2,0)*B5+B5,""))))</f>
        <v>4840</v>
      </c>
    </row>
    <row r="7" spans="1:7" x14ac:dyDescent="0.25">
      <c r="C7" t="s">
        <v>62</v>
      </c>
      <c r="D7" s="57">
        <f>IF(D2=1,INDEX(F2:G5,MATCH(D2,F2:F5,0),2)*B2+B2,IF(D2=2,INDEX(F2:G5,MATCH(D2,F2:F5,0),2)*B3+B3,IF(D2=3,INDEX(F2:G5,MATCH(D2,F2:F5,0),2)*B4+B4,IF(D2=4,INDEX(F2:G5,MATCH(D2,F2:F5,0),2)*B5+B5,""))))</f>
        <v>4840</v>
      </c>
    </row>
    <row r="8" spans="1:7" x14ac:dyDescent="0.25">
      <c r="C8" s="59" t="s">
        <v>61</v>
      </c>
      <c r="D8" s="57" cm="1">
        <f t="array" ref="D8">INDEX(A2:B5,D2,2)+INDEX(A2:B5,D2,2)*INDEX(F2:G5,D2,2)</f>
        <v>4840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I23"/>
  <sheetViews>
    <sheetView topLeftCell="A13" zoomScaleNormal="100" workbookViewId="0">
      <selection activeCell="G23" sqref="G23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9.7109375" bestFit="1" customWidth="1"/>
    <col min="8" max="8" width="18.140625" style="1" customWidth="1"/>
    <col min="9" max="9" width="14.140625" customWidth="1"/>
  </cols>
  <sheetData>
    <row r="1" spans="1:9" s="10" customFormat="1" ht="23.25" x14ac:dyDescent="0.25">
      <c r="A1" s="78" t="s">
        <v>23</v>
      </c>
      <c r="B1" s="78"/>
      <c r="C1" s="78"/>
      <c r="D1" s="78"/>
      <c r="E1" s="78"/>
      <c r="G1" s="78" t="s">
        <v>29</v>
      </c>
      <c r="H1" s="78"/>
    </row>
    <row r="2" spans="1:9" x14ac:dyDescent="0.25">
      <c r="A2" s="73"/>
      <c r="B2" s="73"/>
      <c r="C2" s="73"/>
      <c r="D2" s="73"/>
      <c r="E2" s="73"/>
      <c r="G2" s="73"/>
      <c r="H2" s="73"/>
    </row>
    <row r="3" spans="1:9" s="22" customFormat="1" ht="31.5" x14ac:dyDescent="0.25">
      <c r="A3" s="18" t="s">
        <v>0</v>
      </c>
      <c r="B3" s="18" t="s">
        <v>12</v>
      </c>
      <c r="C3" s="19" t="s">
        <v>16</v>
      </c>
      <c r="D3" s="19" t="s">
        <v>1</v>
      </c>
      <c r="E3" s="18" t="s">
        <v>7</v>
      </c>
      <c r="G3" s="18" t="s">
        <v>0</v>
      </c>
      <c r="H3" s="19" t="s">
        <v>18</v>
      </c>
    </row>
    <row r="4" spans="1:9" x14ac:dyDescent="0.25">
      <c r="A4" s="4" t="s">
        <v>2</v>
      </c>
      <c r="B4" s="4" t="s">
        <v>13</v>
      </c>
      <c r="C4" s="5">
        <v>1200</v>
      </c>
      <c r="D4" s="6">
        <v>10</v>
      </c>
      <c r="E4" s="5">
        <f>C4*D4</f>
        <v>12000</v>
      </c>
      <c r="G4" s="4" t="s">
        <v>2</v>
      </c>
      <c r="H4" s="5">
        <f>SUMIF(A4:A12,G4,E4:E12)</f>
        <v>52800</v>
      </c>
    </row>
    <row r="5" spans="1:9" x14ac:dyDescent="0.25">
      <c r="A5" s="4" t="s">
        <v>3</v>
      </c>
      <c r="B5" s="4" t="s">
        <v>14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>
        <f>SUMIF(A4:A12,A5,E4:E12)</f>
        <v>158400</v>
      </c>
    </row>
    <row r="6" spans="1:9" x14ac:dyDescent="0.25">
      <c r="A6" s="4" t="s">
        <v>4</v>
      </c>
      <c r="B6" s="4" t="s">
        <v>15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>
        <f>SUMIF(A4:A12,G6,E4:E12)</f>
        <v>56000</v>
      </c>
    </row>
    <row r="7" spans="1:9" x14ac:dyDescent="0.25">
      <c r="A7" s="4" t="s">
        <v>5</v>
      </c>
      <c r="B7" s="4" t="s">
        <v>14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>
        <f>SUMIF(A4:A12,G7,E4:E12)</f>
        <v>85500</v>
      </c>
    </row>
    <row r="8" spans="1:9" x14ac:dyDescent="0.25">
      <c r="A8" s="4" t="s">
        <v>2</v>
      </c>
      <c r="B8" s="4" t="s">
        <v>13</v>
      </c>
      <c r="C8" s="5">
        <v>1200</v>
      </c>
      <c r="D8" s="6">
        <v>8</v>
      </c>
      <c r="E8" s="5">
        <f t="shared" si="0"/>
        <v>9600</v>
      </c>
      <c r="G8" s="11" t="s">
        <v>19</v>
      </c>
      <c r="H8" s="3">
        <f>SUM(H4:H7)</f>
        <v>352700</v>
      </c>
    </row>
    <row r="9" spans="1:9" x14ac:dyDescent="0.25">
      <c r="A9" s="4" t="s">
        <v>3</v>
      </c>
      <c r="B9" s="4" t="s">
        <v>14</v>
      </c>
      <c r="C9" s="5">
        <v>2200</v>
      </c>
      <c r="D9" s="6">
        <v>40</v>
      </c>
      <c r="E9" s="5">
        <f t="shared" si="0"/>
        <v>88000</v>
      </c>
    </row>
    <row r="10" spans="1:9" x14ac:dyDescent="0.25">
      <c r="A10" s="4" t="s">
        <v>4</v>
      </c>
      <c r="B10" s="4" t="s">
        <v>15</v>
      </c>
      <c r="C10" s="5">
        <v>1400</v>
      </c>
      <c r="D10" s="6">
        <v>12</v>
      </c>
      <c r="E10" s="5">
        <f t="shared" si="0"/>
        <v>16800</v>
      </c>
      <c r="G10" s="77" t="s">
        <v>35</v>
      </c>
      <c r="H10" s="77"/>
    </row>
    <row r="11" spans="1:9" x14ac:dyDescent="0.25">
      <c r="A11" s="4" t="s">
        <v>5</v>
      </c>
      <c r="B11" s="4" t="s">
        <v>14</v>
      </c>
      <c r="C11" s="5">
        <v>900</v>
      </c>
      <c r="D11" s="6">
        <v>55</v>
      </c>
      <c r="E11" s="5">
        <f t="shared" si="0"/>
        <v>49500</v>
      </c>
      <c r="G11" s="4" t="s">
        <v>4</v>
      </c>
      <c r="H11" s="5">
        <f>IF(G11=G4,H4,IF(G11=G5,H5,IF(G11=G6,H6,IF(G11=G7,H7,""))))</f>
        <v>56000</v>
      </c>
      <c r="I11" t="str">
        <f ca="1">_xlfn.FORMULATEXT(H11)</f>
        <v>=SE(G11=G4;H4;SE(G11=G5;H5;SE(G11=G6;H6;SE(G11=G7;H7;""))))</v>
      </c>
    </row>
    <row r="12" spans="1:9" x14ac:dyDescent="0.25">
      <c r="A12" s="4" t="s">
        <v>2</v>
      </c>
      <c r="B12" s="4" t="s">
        <v>13</v>
      </c>
      <c r="C12" s="5">
        <v>1200</v>
      </c>
      <c r="D12" s="6">
        <v>26</v>
      </c>
      <c r="E12" s="5">
        <f t="shared" si="0"/>
        <v>31200</v>
      </c>
    </row>
    <row r="13" spans="1:9" x14ac:dyDescent="0.25">
      <c r="E13" s="7"/>
      <c r="G13" s="77" t="s">
        <v>35</v>
      </c>
      <c r="H13" s="77"/>
    </row>
    <row r="14" spans="1:9" x14ac:dyDescent="0.25">
      <c r="G14" s="4" t="s">
        <v>2</v>
      </c>
      <c r="H14" s="5">
        <f>VLOOKUP(G14,G4:H7,2,0)</f>
        <v>52800</v>
      </c>
      <c r="I14" t="str">
        <f t="shared" ref="I14:I20" ca="1" si="1">_xlfn.FORMULATEXT(H14)</f>
        <v>=PROCV(G14;G4:H7;2;0)</v>
      </c>
    </row>
    <row r="16" spans="1:9" x14ac:dyDescent="0.25">
      <c r="G16" s="77" t="s">
        <v>35</v>
      </c>
      <c r="H16" s="77"/>
    </row>
    <row r="17" spans="7:9" x14ac:dyDescent="0.25">
      <c r="G17" s="4" t="s">
        <v>4</v>
      </c>
      <c r="H17" s="60">
        <f>_xlfn.XLOOKUP(G17,G4:G7,H4:H7,)</f>
        <v>56000</v>
      </c>
      <c r="I17" t="str">
        <f t="shared" ca="1" si="1"/>
        <v>=PROCX(G17;G4:G7;H4:H7;)</v>
      </c>
    </row>
    <row r="19" spans="7:9" x14ac:dyDescent="0.25">
      <c r="G19" s="77" t="s">
        <v>35</v>
      </c>
      <c r="H19" s="77"/>
    </row>
    <row r="20" spans="7:9" x14ac:dyDescent="0.25">
      <c r="G20" s="4" t="s">
        <v>2</v>
      </c>
      <c r="H20" s="60">
        <f>INDEX(G4:H7,MATCH(G20,G4:G7,0),2)</f>
        <v>52800</v>
      </c>
      <c r="I20" t="str">
        <f t="shared" ca="1" si="1"/>
        <v>=ÍNDICE(G4:H7;CORRESP(G20;G4:G7;0);2)</v>
      </c>
    </row>
    <row r="22" spans="7:9" x14ac:dyDescent="0.25">
      <c r="G22" s="29" t="s">
        <v>63</v>
      </c>
      <c r="H22" s="29" t="s">
        <v>64</v>
      </c>
      <c r="I22" s="29" t="s">
        <v>65</v>
      </c>
    </row>
    <row r="23" spans="7:9" x14ac:dyDescent="0.25">
      <c r="G23" s="4" t="s">
        <v>3</v>
      </c>
      <c r="H23" s="61">
        <f>VLOOKUP(G23,G4:H7,2,0)</f>
        <v>158400</v>
      </c>
      <c r="I23" s="62">
        <f>H8</f>
        <v>352700</v>
      </c>
    </row>
  </sheetData>
  <mergeCells count="8">
    <mergeCell ref="G13:H13"/>
    <mergeCell ref="G16:H16"/>
    <mergeCell ref="G19:H19"/>
    <mergeCell ref="A2:E2"/>
    <mergeCell ref="A1:E1"/>
    <mergeCell ref="G1:H1"/>
    <mergeCell ref="G2:H2"/>
    <mergeCell ref="G10:H10"/>
  </mergeCells>
  <dataValidations count="1">
    <dataValidation type="list" allowBlank="1" showInputMessage="1" showErrorMessage="1" sqref="G11 G14 G17 G20 G23" xr:uid="{4CE0F8EA-8FC9-409C-BF8E-2CF93107FF6E}">
      <formula1>$G$4:$G$7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A1:J13"/>
  <sheetViews>
    <sheetView zoomScaleNormal="100" workbookViewId="0">
      <selection activeCell="I15" sqref="I15"/>
    </sheetView>
  </sheetViews>
  <sheetFormatPr defaultRowHeight="15" x14ac:dyDescent="0.25"/>
  <cols>
    <col min="1" max="1" width="14.28515625" customWidth="1"/>
    <col min="2" max="2" width="11.85546875" customWidth="1"/>
    <col min="3" max="3" width="6.28515625" bestFit="1" customWidth="1"/>
    <col min="4" max="4" width="13.85546875" style="1" bestFit="1" customWidth="1"/>
    <col min="5" max="5" width="13.7109375" style="1" customWidth="1"/>
    <col min="6" max="6" width="13.28515625" bestFit="1" customWidth="1"/>
    <col min="7" max="7" width="7" customWidth="1"/>
    <col min="8" max="8" width="19.140625" bestFit="1" customWidth="1"/>
    <col min="9" max="9" width="20.85546875" bestFit="1" customWidth="1"/>
    <col min="10" max="10" width="14.5703125" style="1" customWidth="1"/>
  </cols>
  <sheetData>
    <row r="1" spans="1:10" s="10" customFormat="1" ht="23.25" x14ac:dyDescent="0.25">
      <c r="A1" s="78" t="s">
        <v>23</v>
      </c>
      <c r="B1" s="78"/>
      <c r="C1" s="78"/>
      <c r="D1" s="78"/>
      <c r="E1" s="78"/>
      <c r="F1" s="78"/>
      <c r="H1" s="78" t="s">
        <v>29</v>
      </c>
      <c r="I1" s="78"/>
      <c r="J1" s="78"/>
    </row>
    <row r="2" spans="1:10" x14ac:dyDescent="0.25">
      <c r="A2" s="73"/>
      <c r="B2" s="73"/>
      <c r="C2" s="73"/>
      <c r="D2" s="73"/>
      <c r="E2" s="73"/>
      <c r="F2" s="73"/>
      <c r="H2" s="73"/>
      <c r="I2" s="73"/>
      <c r="J2" s="73"/>
    </row>
    <row r="3" spans="1:10" s="22" customFormat="1" ht="47.2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56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>
        <f>SUMIFS(F4:F12,$B$4:$B$12,I4,$A$4:$A$12,H4)</f>
        <v>52800</v>
      </c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45</v>
      </c>
      <c r="J5" s="5">
        <f>SUMIFS(F4:F12,B4:B12,I5,A4:A12,H5)</f>
        <v>158400</v>
      </c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>
        <f>SUMIFS(F4:F12,B4:B12,I6,A4:A12,H6)</f>
        <v>56000</v>
      </c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>
        <f>SUMIFS(F4:F12,B4:B12,I7,A4:A12,H7)</f>
        <v>85500</v>
      </c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45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H10" s="63" t="s">
        <v>66</v>
      </c>
      <c r="I10" s="63" t="s">
        <v>67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H11" t="s">
        <v>3</v>
      </c>
      <c r="I11" t="s">
        <v>45</v>
      </c>
      <c r="J11" s="7">
        <f>SUMIFS(J4:J7,H4:H7,H11,I4:I7,I11)</f>
        <v>158400</v>
      </c>
    </row>
    <row r="12" spans="1:10" x14ac:dyDescent="0.25">
      <c r="A12" s="4" t="s">
        <v>2</v>
      </c>
      <c r="B12" s="4" t="s">
        <v>44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</sheetData>
  <mergeCells count="4">
    <mergeCell ref="A1:F1"/>
    <mergeCell ref="H1:J1"/>
    <mergeCell ref="A2:F2"/>
    <mergeCell ref="H2:J2"/>
  </mergeCells>
  <dataValidations count="2">
    <dataValidation type="list" allowBlank="1" showInputMessage="1" showErrorMessage="1" errorTitle="Erro" error="Produto Inválido._x000a_Selecione um produto na lista." sqref="H11" xr:uid="{CE82ED08-27B9-4048-AC6D-09ECE4ECAED3}">
      <formula1>$H$4:$H$7</formula1>
    </dataValidation>
    <dataValidation type="list" allowBlank="1" showInputMessage="1" showErrorMessage="1" errorTitle="Erro" error="Vendedor Inválido._x000a_Selecione um vendedor na lista." sqref="I11" xr:uid="{D3645849-80D6-4B79-B8B9-4217F331804B}">
      <formula1>$I$4:$I$7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D12"/>
  <sheetViews>
    <sheetView zoomScale="160" zoomScaleNormal="160" workbookViewId="0">
      <selection activeCell="E4" sqref="E4"/>
    </sheetView>
  </sheetViews>
  <sheetFormatPr defaultRowHeight="15" x14ac:dyDescent="0.25"/>
  <cols>
    <col min="1" max="1" width="16" customWidth="1"/>
    <col min="2" max="2" width="13.85546875" customWidth="1"/>
    <col min="3" max="3" width="11.7109375" customWidth="1"/>
    <col min="4" max="4" width="13.42578125" bestFit="1" customWidth="1"/>
  </cols>
  <sheetData>
    <row r="1" spans="1:4" ht="26.25" x14ac:dyDescent="0.4">
      <c r="A1" s="76" t="s">
        <v>17</v>
      </c>
      <c r="B1" s="76"/>
      <c r="C1" s="76"/>
      <c r="D1" s="76"/>
    </row>
    <row r="2" spans="1:4" x14ac:dyDescent="0.25">
      <c r="A2" s="73"/>
      <c r="B2" s="73"/>
      <c r="C2" s="73"/>
      <c r="D2" s="73"/>
    </row>
    <row r="3" spans="1:4" s="28" customFormat="1" ht="37.5" x14ac:dyDescent="0.25">
      <c r="A3" s="15" t="s">
        <v>0</v>
      </c>
      <c r="B3" s="16" t="s">
        <v>16</v>
      </c>
      <c r="C3" s="16" t="s">
        <v>17</v>
      </c>
      <c r="D3" s="15" t="s">
        <v>36</v>
      </c>
    </row>
    <row r="4" spans="1:4" x14ac:dyDescent="0.25">
      <c r="A4" s="4" t="s">
        <v>2</v>
      </c>
      <c r="B4" s="5">
        <v>1200</v>
      </c>
      <c r="C4" s="64">
        <v>0</v>
      </c>
      <c r="D4" s="5" t="str">
        <f>IFERROR(B4/C4,"")</f>
        <v/>
      </c>
    </row>
    <row r="5" spans="1:4" x14ac:dyDescent="0.25">
      <c r="A5" s="4" t="s">
        <v>3</v>
      </c>
      <c r="B5" s="5">
        <v>2200</v>
      </c>
      <c r="C5" s="6">
        <v>3</v>
      </c>
      <c r="D5" s="5">
        <f t="shared" ref="D5:D12" si="0">IFERROR(B5/C5,"")</f>
        <v>733.33333333333337</v>
      </c>
    </row>
    <row r="6" spans="1:4" x14ac:dyDescent="0.25">
      <c r="A6" s="4" t="s">
        <v>4</v>
      </c>
      <c r="B6" s="5">
        <v>1400</v>
      </c>
      <c r="C6" s="6">
        <v>6</v>
      </c>
      <c r="D6" s="5">
        <f t="shared" si="0"/>
        <v>233.33333333333334</v>
      </c>
    </row>
    <row r="7" spans="1:4" x14ac:dyDescent="0.25">
      <c r="A7" s="4" t="s">
        <v>5</v>
      </c>
      <c r="B7" s="5">
        <v>900</v>
      </c>
      <c r="C7" s="6">
        <v>9</v>
      </c>
      <c r="D7" s="5">
        <f t="shared" si="0"/>
        <v>100</v>
      </c>
    </row>
    <row r="8" spans="1:4" x14ac:dyDescent="0.25">
      <c r="A8" s="4" t="s">
        <v>2</v>
      </c>
      <c r="B8" s="5">
        <v>1459</v>
      </c>
      <c r="C8" s="6">
        <v>12</v>
      </c>
      <c r="D8" s="5">
        <f t="shared" si="0"/>
        <v>121.58333333333333</v>
      </c>
    </row>
    <row r="9" spans="1:4" x14ac:dyDescent="0.25">
      <c r="A9" s="4" t="s">
        <v>3</v>
      </c>
      <c r="B9" s="5">
        <v>1100</v>
      </c>
      <c r="C9" s="6">
        <v>15</v>
      </c>
      <c r="D9" s="5">
        <f t="shared" si="0"/>
        <v>73.333333333333329</v>
      </c>
    </row>
    <row r="10" spans="1:4" x14ac:dyDescent="0.25">
      <c r="A10" s="4" t="s">
        <v>4</v>
      </c>
      <c r="B10" s="5">
        <v>990</v>
      </c>
      <c r="C10" s="6">
        <v>18</v>
      </c>
      <c r="D10" s="5">
        <f t="shared" si="0"/>
        <v>55</v>
      </c>
    </row>
    <row r="11" spans="1:4" x14ac:dyDescent="0.25">
      <c r="A11" s="4" t="s">
        <v>4</v>
      </c>
      <c r="B11" s="5">
        <v>1250</v>
      </c>
      <c r="C11" s="6">
        <v>24</v>
      </c>
      <c r="D11" s="5">
        <f t="shared" si="0"/>
        <v>52.083333333333336</v>
      </c>
    </row>
    <row r="12" spans="1:4" x14ac:dyDescent="0.25">
      <c r="A12" s="4" t="s">
        <v>5</v>
      </c>
      <c r="B12" s="5">
        <v>890</v>
      </c>
      <c r="C12" s="6">
        <v>3</v>
      </c>
      <c r="D12" s="5">
        <f t="shared" si="0"/>
        <v>296.66666666666669</v>
      </c>
    </row>
  </sheetData>
  <mergeCells count="2">
    <mergeCell ref="A2:D2"/>
    <mergeCell ref="A1:D1"/>
  </mergeCells>
  <dataValidations count="1">
    <dataValidation type="list" allowBlank="1" showInputMessage="1" showErrorMessage="1" errorTitle="Erro" error="Valor inválido._x000a_Selecionar um valor na lista." sqref="C5:C12" xr:uid="{33A89250-3452-4627-A10E-7F827F1EDB30}">
      <formula1>"3,6,9,12,15,18,21,24"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Spinner 1">
              <controlPr defaultSize="0" autoPict="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180975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K12"/>
  <sheetViews>
    <sheetView zoomScale="110" zoomScaleNormal="110" workbookViewId="0">
      <selection activeCell="I8" sqref="I8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2.28515625" style="1" bestFit="1" customWidth="1"/>
    <col min="4" max="4" width="7.5703125" style="1" customWidth="1"/>
    <col min="5" max="5" width="12.85546875" style="1" bestFit="1" customWidth="1"/>
    <col min="6" max="6" width="7.5703125" style="1" customWidth="1"/>
    <col min="7" max="7" width="21.85546875" bestFit="1" customWidth="1"/>
    <col min="8" max="8" width="7.7109375" bestFit="1" customWidth="1"/>
    <col min="9" max="9" width="16.85546875" bestFit="1" customWidth="1"/>
    <col min="10" max="10" width="14.42578125" bestFit="1" customWidth="1"/>
    <col min="11" max="11" width="13.28515625" bestFit="1" customWidth="1"/>
  </cols>
  <sheetData>
    <row r="1" spans="1:11" s="22" customFormat="1" ht="23.25" x14ac:dyDescent="0.25">
      <c r="A1" s="29" t="s">
        <v>0</v>
      </c>
      <c r="B1" s="29" t="s">
        <v>12</v>
      </c>
      <c r="C1" s="30" t="s">
        <v>6</v>
      </c>
      <c r="D1" s="31"/>
      <c r="E1" s="31" t="s">
        <v>1</v>
      </c>
      <c r="F1" s="31"/>
      <c r="G1" s="79" t="s">
        <v>22</v>
      </c>
      <c r="H1" s="80"/>
      <c r="I1" s="80"/>
      <c r="J1" s="80"/>
      <c r="K1" s="81"/>
    </row>
    <row r="2" spans="1:11" x14ac:dyDescent="0.25">
      <c r="A2" s="4" t="s">
        <v>3</v>
      </c>
      <c r="B2" s="4" t="s">
        <v>14</v>
      </c>
      <c r="C2" s="5">
        <v>2200</v>
      </c>
      <c r="E2" s="65">
        <v>1</v>
      </c>
      <c r="G2" s="12"/>
      <c r="H2" s="12"/>
      <c r="I2" s="12"/>
      <c r="J2" s="12"/>
      <c r="K2" s="12"/>
    </row>
    <row r="3" spans="1:11" ht="15.75" x14ac:dyDescent="0.25">
      <c r="A3" s="4" t="s">
        <v>5</v>
      </c>
      <c r="B3" s="4" t="s">
        <v>14</v>
      </c>
      <c r="C3" s="5">
        <v>900</v>
      </c>
      <c r="E3" s="65">
        <v>2</v>
      </c>
      <c r="G3" s="13" t="s">
        <v>0</v>
      </c>
      <c r="H3" s="21" t="s">
        <v>12</v>
      </c>
      <c r="I3" s="14" t="s">
        <v>16</v>
      </c>
      <c r="J3" s="14" t="s">
        <v>1</v>
      </c>
      <c r="K3" s="13" t="s">
        <v>7</v>
      </c>
    </row>
    <row r="4" spans="1:11" x14ac:dyDescent="0.25">
      <c r="A4" s="4" t="s">
        <v>4</v>
      </c>
      <c r="B4" s="4" t="s">
        <v>15</v>
      </c>
      <c r="C4" s="5">
        <v>1400</v>
      </c>
      <c r="E4" s="65">
        <v>3</v>
      </c>
      <c r="G4" s="66" t="s">
        <v>3</v>
      </c>
      <c r="H4" s="5" t="str">
        <f>IFERROR(VLOOKUP(G4,$A$2:$B$5,2,0),"")</f>
        <v>10 Pol</v>
      </c>
      <c r="I4" s="60">
        <f>IFERROR(VLOOKUP(G4,$A$2:$C$5,3,0),"")</f>
        <v>2200</v>
      </c>
      <c r="J4" s="67">
        <v>2</v>
      </c>
      <c r="K4" s="5">
        <f>I4*J4</f>
        <v>4400</v>
      </c>
    </row>
    <row r="5" spans="1:11" x14ac:dyDescent="0.25">
      <c r="A5" s="4" t="s">
        <v>2</v>
      </c>
      <c r="B5" s="4" t="s">
        <v>13</v>
      </c>
      <c r="C5" s="5">
        <v>1200</v>
      </c>
      <c r="E5" s="65">
        <v>4</v>
      </c>
      <c r="G5" s="66" t="s">
        <v>4</v>
      </c>
      <c r="H5" s="5" t="str">
        <f t="shared" ref="H5:H12" si="0">IFERROR(VLOOKUP(G5,$A$2:$B$5,2,0),"")</f>
        <v>12 Pol</v>
      </c>
      <c r="I5" s="60">
        <f t="shared" ref="I5:I12" si="1">IFERROR(VLOOKUP(G5,$A$2:$C$5,3,0),"")</f>
        <v>1400</v>
      </c>
      <c r="J5" s="67">
        <v>5</v>
      </c>
      <c r="K5" s="5">
        <f t="shared" ref="K5:K12" si="2">I5*J5</f>
        <v>7000</v>
      </c>
    </row>
    <row r="6" spans="1:11" x14ac:dyDescent="0.25">
      <c r="E6" s="65">
        <v>5</v>
      </c>
      <c r="G6" s="66" t="s">
        <v>5</v>
      </c>
      <c r="H6" s="5" t="str">
        <f t="shared" si="0"/>
        <v>10 Pol</v>
      </c>
      <c r="I6" s="60">
        <f t="shared" si="1"/>
        <v>900</v>
      </c>
      <c r="J6" s="67">
        <v>3</v>
      </c>
      <c r="K6" s="5">
        <f t="shared" si="2"/>
        <v>2700</v>
      </c>
    </row>
    <row r="7" spans="1:11" x14ac:dyDescent="0.25">
      <c r="E7" s="65">
        <v>6</v>
      </c>
      <c r="G7" s="66" t="s">
        <v>4</v>
      </c>
      <c r="H7" s="5" t="str">
        <f t="shared" si="0"/>
        <v>12 Pol</v>
      </c>
      <c r="I7" s="60">
        <f t="shared" si="1"/>
        <v>1400</v>
      </c>
      <c r="J7" s="67">
        <v>4</v>
      </c>
      <c r="K7" s="5">
        <f t="shared" si="2"/>
        <v>5600</v>
      </c>
    </row>
    <row r="8" spans="1:11" x14ac:dyDescent="0.25">
      <c r="E8" s="65">
        <v>7</v>
      </c>
      <c r="G8" s="66" t="s">
        <v>2</v>
      </c>
      <c r="H8" s="5" t="str">
        <f t="shared" si="0"/>
        <v>50 Pol</v>
      </c>
      <c r="I8" s="60">
        <f t="shared" si="1"/>
        <v>1200</v>
      </c>
      <c r="J8" s="67">
        <v>6</v>
      </c>
      <c r="K8" s="5">
        <f t="shared" si="2"/>
        <v>7200</v>
      </c>
    </row>
    <row r="9" spans="1:11" x14ac:dyDescent="0.25">
      <c r="E9" s="65">
        <v>8</v>
      </c>
      <c r="G9" s="66" t="s">
        <v>3</v>
      </c>
      <c r="H9" s="5" t="str">
        <f t="shared" si="0"/>
        <v>10 Pol</v>
      </c>
      <c r="I9" s="60">
        <f t="shared" si="1"/>
        <v>2200</v>
      </c>
      <c r="J9" s="67">
        <v>5</v>
      </c>
      <c r="K9" s="5">
        <f t="shared" si="2"/>
        <v>11000</v>
      </c>
    </row>
    <row r="10" spans="1:11" x14ac:dyDescent="0.25">
      <c r="E10" s="65">
        <v>9</v>
      </c>
      <c r="G10" s="66" t="s">
        <v>5</v>
      </c>
      <c r="H10" s="5" t="str">
        <f t="shared" si="0"/>
        <v>10 Pol</v>
      </c>
      <c r="I10" s="60">
        <f t="shared" si="1"/>
        <v>900</v>
      </c>
      <c r="J10" s="67">
        <v>7</v>
      </c>
      <c r="K10" s="5">
        <f t="shared" si="2"/>
        <v>6300</v>
      </c>
    </row>
    <row r="11" spans="1:11" x14ac:dyDescent="0.25">
      <c r="E11" s="65">
        <v>10</v>
      </c>
      <c r="G11" s="66" t="s">
        <v>4</v>
      </c>
      <c r="H11" s="5" t="str">
        <f t="shared" si="0"/>
        <v>12 Pol</v>
      </c>
      <c r="I11" s="60">
        <f t="shared" si="1"/>
        <v>1400</v>
      </c>
      <c r="J11" s="67">
        <v>6</v>
      </c>
      <c r="K11" s="5">
        <f t="shared" si="2"/>
        <v>8400</v>
      </c>
    </row>
    <row r="12" spans="1:11" x14ac:dyDescent="0.25">
      <c r="G12" s="66" t="s">
        <v>2</v>
      </c>
      <c r="H12" s="5" t="str">
        <f t="shared" si="0"/>
        <v>50 Pol</v>
      </c>
      <c r="I12" s="60">
        <f t="shared" si="1"/>
        <v>1200</v>
      </c>
      <c r="J12" s="67">
        <v>8</v>
      </c>
      <c r="K12" s="5">
        <f t="shared" si="2"/>
        <v>9600</v>
      </c>
    </row>
  </sheetData>
  <sheetProtection selectLockedCells="1"/>
  <sortState xmlns:xlrd2="http://schemas.microsoft.com/office/spreadsheetml/2017/richdata2" ref="A2:C5">
    <sortCondition ref="A1"/>
  </sortState>
  <mergeCells count="1">
    <mergeCell ref="G1:K1"/>
  </mergeCells>
  <dataValidations count="2">
    <dataValidation type="list" allowBlank="1" showInputMessage="1" showErrorMessage="1" sqref="G4:G12" xr:uid="{FD4E99E3-B9E1-4AC4-9186-55D2CCF51596}">
      <formula1>$A$2:$A$5</formula1>
    </dataValidation>
    <dataValidation type="list" allowBlank="1" showInputMessage="1" showErrorMessage="1" errorTitle="Erro" error="Valor Inválido_x000a_Somente serão aceitos pedidos até 10 quantidades por produto." sqref="J4:J12" xr:uid="{BD94305C-76DA-4771-A654-A61195B1494C}">
      <formula1>$E$2:$E$11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I17"/>
  <sheetViews>
    <sheetView zoomScale="130" zoomScaleNormal="130" workbookViewId="0">
      <selection activeCell="E13" sqref="E13"/>
    </sheetView>
  </sheetViews>
  <sheetFormatPr defaultRowHeight="15" x14ac:dyDescent="0.25"/>
  <cols>
    <col min="1" max="1" width="21.85546875" bestFit="1" customWidth="1"/>
    <col min="2" max="3" width="15.28515625" bestFit="1" customWidth="1"/>
    <col min="6" max="6" width="12.7109375" bestFit="1" customWidth="1"/>
    <col min="7" max="7" width="11.140625" bestFit="1" customWidth="1"/>
    <col min="8" max="9" width="12.7109375" bestFit="1" customWidth="1"/>
  </cols>
  <sheetData>
    <row r="1" spans="1:9" ht="23.25" x14ac:dyDescent="0.35">
      <c r="A1" s="74" t="s">
        <v>22</v>
      </c>
      <c r="B1" s="74"/>
      <c r="C1" s="74"/>
      <c r="F1" s="2" t="s">
        <v>3</v>
      </c>
      <c r="G1" s="2" t="s">
        <v>5</v>
      </c>
      <c r="H1" s="2" t="s">
        <v>4</v>
      </c>
      <c r="I1" s="2" t="s">
        <v>2</v>
      </c>
    </row>
    <row r="2" spans="1:9" x14ac:dyDescent="0.25">
      <c r="A2" s="73"/>
      <c r="B2" s="73"/>
      <c r="C2" s="73"/>
      <c r="F2" s="2" t="s">
        <v>14</v>
      </c>
      <c r="G2" s="2" t="s">
        <v>14</v>
      </c>
      <c r="H2" s="2" t="s">
        <v>15</v>
      </c>
      <c r="I2" s="2" t="s">
        <v>13</v>
      </c>
    </row>
    <row r="3" spans="1:9" ht="15.75" x14ac:dyDescent="0.25">
      <c r="A3" s="13" t="s">
        <v>0</v>
      </c>
      <c r="B3" s="13" t="s">
        <v>16</v>
      </c>
      <c r="C3" s="14" t="s">
        <v>12</v>
      </c>
      <c r="F3" s="3">
        <v>2200</v>
      </c>
      <c r="G3" s="3">
        <v>900</v>
      </c>
      <c r="H3" s="3">
        <v>1400</v>
      </c>
      <c r="I3" s="3">
        <v>1200</v>
      </c>
    </row>
    <row r="4" spans="1:9" x14ac:dyDescent="0.25">
      <c r="A4" s="4" t="s">
        <v>4</v>
      </c>
      <c r="B4" s="5">
        <f>HLOOKUP(A4,$F$1:$I$3,3,0)</f>
        <v>1400</v>
      </c>
      <c r="C4" s="5" t="str">
        <f>HLOOKUP(A4,$F$1:$I$3,2,0)</f>
        <v>12 Pol</v>
      </c>
    </row>
    <row r="5" spans="1:9" x14ac:dyDescent="0.25">
      <c r="A5" s="4" t="s">
        <v>2</v>
      </c>
      <c r="B5" s="5">
        <f t="shared" ref="B5:B17" si="0">HLOOKUP(A5,$F$1:$I$3,3,0)</f>
        <v>1200</v>
      </c>
      <c r="C5" s="5" t="str">
        <f t="shared" ref="C5:C17" si="1">HLOOKUP(A5,$F$1:$I$3,2,0)</f>
        <v>50 Pol</v>
      </c>
    </row>
    <row r="6" spans="1:9" x14ac:dyDescent="0.25">
      <c r="A6" s="4" t="s">
        <v>4</v>
      </c>
      <c r="B6" s="5">
        <f t="shared" si="0"/>
        <v>1400</v>
      </c>
      <c r="C6" s="5" t="str">
        <f t="shared" si="1"/>
        <v>12 Pol</v>
      </c>
    </row>
    <row r="7" spans="1:9" x14ac:dyDescent="0.25">
      <c r="A7" s="4" t="s">
        <v>5</v>
      </c>
      <c r="B7" s="5">
        <f t="shared" si="0"/>
        <v>900</v>
      </c>
      <c r="C7" s="5" t="str">
        <f t="shared" si="1"/>
        <v>10 Pol</v>
      </c>
    </row>
    <row r="8" spans="1:9" x14ac:dyDescent="0.25">
      <c r="A8" s="4" t="s">
        <v>4</v>
      </c>
      <c r="B8" s="5">
        <f t="shared" si="0"/>
        <v>1400</v>
      </c>
      <c r="C8" s="5" t="str">
        <f t="shared" si="1"/>
        <v>12 Pol</v>
      </c>
    </row>
    <row r="9" spans="1:9" x14ac:dyDescent="0.25">
      <c r="A9" s="4" t="s">
        <v>2</v>
      </c>
      <c r="B9" s="5">
        <f t="shared" si="0"/>
        <v>1200</v>
      </c>
      <c r="C9" s="5" t="str">
        <f t="shared" si="1"/>
        <v>50 Pol</v>
      </c>
    </row>
    <row r="10" spans="1:9" x14ac:dyDescent="0.25">
      <c r="A10" s="4" t="s">
        <v>4</v>
      </c>
      <c r="B10" s="5">
        <f t="shared" si="0"/>
        <v>1400</v>
      </c>
      <c r="C10" s="5" t="str">
        <f t="shared" si="1"/>
        <v>12 Pol</v>
      </c>
    </row>
    <row r="11" spans="1:9" x14ac:dyDescent="0.25">
      <c r="A11" s="4" t="s">
        <v>2</v>
      </c>
      <c r="B11" s="5">
        <f t="shared" si="0"/>
        <v>1200</v>
      </c>
      <c r="C11" s="5" t="str">
        <f t="shared" si="1"/>
        <v>50 Pol</v>
      </c>
    </row>
    <row r="12" spans="1:9" x14ac:dyDescent="0.25">
      <c r="A12" s="4" t="s">
        <v>4</v>
      </c>
      <c r="B12" s="5">
        <f t="shared" si="0"/>
        <v>1400</v>
      </c>
      <c r="C12" s="5" t="str">
        <f t="shared" si="1"/>
        <v>12 Pol</v>
      </c>
    </row>
    <row r="13" spans="1:9" x14ac:dyDescent="0.25">
      <c r="A13" s="4" t="s">
        <v>5</v>
      </c>
      <c r="B13" s="5">
        <f t="shared" si="0"/>
        <v>900</v>
      </c>
      <c r="C13" s="5" t="str">
        <f t="shared" si="1"/>
        <v>10 Pol</v>
      </c>
    </row>
    <row r="14" spans="1:9" x14ac:dyDescent="0.25">
      <c r="A14" s="4" t="s">
        <v>4</v>
      </c>
      <c r="B14" s="5">
        <f t="shared" si="0"/>
        <v>1400</v>
      </c>
      <c r="C14" s="5" t="str">
        <f t="shared" si="1"/>
        <v>12 Pol</v>
      </c>
    </row>
    <row r="15" spans="1:9" x14ac:dyDescent="0.25">
      <c r="A15" s="4" t="s">
        <v>2</v>
      </c>
      <c r="B15" s="5">
        <f t="shared" si="0"/>
        <v>1200</v>
      </c>
      <c r="C15" s="5" t="str">
        <f t="shared" si="1"/>
        <v>50 Pol</v>
      </c>
    </row>
    <row r="16" spans="1:9" x14ac:dyDescent="0.25">
      <c r="A16" s="4" t="s">
        <v>4</v>
      </c>
      <c r="B16" s="5">
        <f t="shared" si="0"/>
        <v>1400</v>
      </c>
      <c r="C16" s="5" t="str">
        <f t="shared" si="1"/>
        <v>12 Pol</v>
      </c>
    </row>
    <row r="17" spans="1:3" x14ac:dyDescent="0.25">
      <c r="A17" s="4" t="s">
        <v>2</v>
      </c>
      <c r="B17" s="5">
        <f t="shared" si="0"/>
        <v>1200</v>
      </c>
      <c r="C17" s="5" t="str">
        <f t="shared" si="1"/>
        <v>50 Pol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5"/>
  <sheetViews>
    <sheetView zoomScale="190" zoomScaleNormal="190" workbookViewId="0">
      <selection activeCell="D2" sqref="D2"/>
    </sheetView>
  </sheetViews>
  <sheetFormatPr defaultRowHeight="15" x14ac:dyDescent="0.25"/>
  <cols>
    <col min="1" max="1" width="19.7109375" bestFit="1" customWidth="1"/>
    <col min="2" max="2" width="6.85546875" customWidth="1"/>
    <col min="3" max="3" width="11" bestFit="1" customWidth="1"/>
    <col min="4" max="4" width="10.85546875" style="1" bestFit="1" customWidth="1"/>
  </cols>
  <sheetData>
    <row r="1" spans="1:4" s="10" customFormat="1" ht="30" x14ac:dyDescent="0.25">
      <c r="A1" s="8" t="s">
        <v>0</v>
      </c>
      <c r="C1" s="8" t="s">
        <v>0</v>
      </c>
      <c r="D1" s="9" t="s">
        <v>37</v>
      </c>
    </row>
    <row r="2" spans="1:4" x14ac:dyDescent="0.25">
      <c r="A2" s="4" t="s">
        <v>3</v>
      </c>
      <c r="C2" s="4" t="s">
        <v>2</v>
      </c>
      <c r="D2" s="6">
        <f>MATCH(C2,A2:A5,0)</f>
        <v>4</v>
      </c>
    </row>
    <row r="3" spans="1:4" x14ac:dyDescent="0.25">
      <c r="A3" s="4" t="s">
        <v>5</v>
      </c>
      <c r="D3"/>
    </row>
    <row r="4" spans="1:4" x14ac:dyDescent="0.25">
      <c r="A4" s="4" t="s">
        <v>4</v>
      </c>
      <c r="D4"/>
    </row>
    <row r="5" spans="1:4" x14ac:dyDescent="0.25">
      <c r="A5" s="4" t="s">
        <v>2</v>
      </c>
      <c r="D5"/>
    </row>
  </sheetData>
  <sortState xmlns:xlrd2="http://schemas.microsoft.com/office/spreadsheetml/2017/richdata2" ref="A2:E5">
    <sortCondition ref="A1"/>
  </sortState>
  <dataValidations count="1">
    <dataValidation type="list" allowBlank="1" showInputMessage="1" showErrorMessage="1" sqref="C2" xr:uid="{24E9862C-6E9E-41EA-BA19-72F44F6A0FBE}">
      <formula1>$A$2:$A$5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3"/>
  <dimension ref="A1:H6"/>
  <sheetViews>
    <sheetView zoomScale="150" zoomScaleNormal="150" workbookViewId="0">
      <selection activeCell="H5" sqref="H5"/>
    </sheetView>
  </sheetViews>
  <sheetFormatPr defaultRowHeight="15" x14ac:dyDescent="0.25"/>
  <cols>
    <col min="1" max="1" width="11" bestFit="1" customWidth="1"/>
    <col min="2" max="2" width="6.28515625" bestFit="1" customWidth="1"/>
    <col min="3" max="3" width="12.140625" style="1" bestFit="1" customWidth="1"/>
    <col min="4" max="4" width="11.85546875" style="1" bestFit="1" customWidth="1"/>
    <col min="5" max="5" width="13.28515625" bestFit="1" customWidth="1"/>
    <col min="6" max="6" width="6.28515625" customWidth="1"/>
    <col min="7" max="7" width="6.42578125" bestFit="1" customWidth="1"/>
    <col min="8" max="8" width="10.140625" style="1" customWidth="1"/>
  </cols>
  <sheetData>
    <row r="1" spans="1:8" ht="23.25" x14ac:dyDescent="0.25">
      <c r="A1" s="82" t="s">
        <v>24</v>
      </c>
      <c r="B1" s="82"/>
      <c r="C1" s="82"/>
      <c r="D1" s="82"/>
      <c r="E1" s="82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38</v>
      </c>
      <c r="H2" s="9" t="s">
        <v>39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>
        <v>2</v>
      </c>
      <c r="H3" s="6">
        <v>2</v>
      </c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G5" s="2" t="s">
        <v>40</v>
      </c>
      <c r="H5" s="4" t="str" cm="1">
        <f t="array" ref="H5">INDEX(A3:E6,G3,H3)</f>
        <v>10 Pol</v>
      </c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/>
  <dimension ref="A1:K9"/>
  <sheetViews>
    <sheetView zoomScale="70" zoomScaleNormal="70" workbookViewId="0">
      <selection activeCell="K16" sqref="K16"/>
    </sheetView>
  </sheetViews>
  <sheetFormatPr defaultRowHeight="15" x14ac:dyDescent="0.25"/>
  <cols>
    <col min="1" max="1" width="13.5703125" customWidth="1"/>
    <col min="2" max="2" width="6.28515625" bestFit="1" customWidth="1"/>
    <col min="3" max="3" width="12.7109375" style="1" bestFit="1" customWidth="1"/>
    <col min="4" max="4" width="11.85546875" style="1" bestFit="1" customWidth="1"/>
    <col min="5" max="5" width="13.7109375" bestFit="1" customWidth="1"/>
    <col min="6" max="6" width="2.85546875" customWidth="1"/>
    <col min="7" max="7" width="11" bestFit="1" customWidth="1"/>
    <col min="8" max="8" width="10.7109375" style="1" bestFit="1" customWidth="1"/>
    <col min="10" max="11" width="14.42578125" bestFit="1" customWidth="1"/>
  </cols>
  <sheetData>
    <row r="1" spans="1:11" ht="23.25" x14ac:dyDescent="0.25">
      <c r="A1" s="82" t="s">
        <v>24</v>
      </c>
      <c r="B1" s="82"/>
      <c r="C1" s="82"/>
      <c r="D1" s="82"/>
      <c r="E1" s="82"/>
    </row>
    <row r="2" spans="1:11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0</v>
      </c>
      <c r="H2" s="9" t="s">
        <v>41</v>
      </c>
      <c r="J2" s="46" t="s">
        <v>70</v>
      </c>
      <c r="K2" s="46" t="s">
        <v>69</v>
      </c>
    </row>
    <row r="3" spans="1:11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 t="s">
        <v>4</v>
      </c>
      <c r="H3" s="6">
        <f>MATCH(G3,A3:A6,0)</f>
        <v>3</v>
      </c>
      <c r="J3" s="57">
        <f>SUM(E3:E6)</f>
        <v>157600</v>
      </c>
      <c r="K3" s="57">
        <v>200000</v>
      </c>
    </row>
    <row r="4" spans="1:11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11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H5"/>
      <c r="J5" t="s">
        <v>71</v>
      </c>
      <c r="K5" t="s">
        <v>72</v>
      </c>
    </row>
    <row r="6" spans="1:11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G6" t="s">
        <v>68</v>
      </c>
      <c r="H6"/>
      <c r="J6" s="69">
        <f>J3/K3</f>
        <v>0.78800000000000003</v>
      </c>
      <c r="K6" s="68">
        <v>1</v>
      </c>
    </row>
    <row r="7" spans="1:11" ht="15.75" thickBot="1" x14ac:dyDescent="0.3"/>
    <row r="8" spans="1:11" ht="30" x14ac:dyDescent="0.25">
      <c r="A8" s="32" t="s">
        <v>0</v>
      </c>
      <c r="B8" s="33" t="s">
        <v>12</v>
      </c>
      <c r="C8" s="34" t="s">
        <v>16</v>
      </c>
      <c r="D8" s="34" t="s">
        <v>1</v>
      </c>
      <c r="E8" s="35" t="s">
        <v>7</v>
      </c>
    </row>
    <row r="9" spans="1:11" ht="15.75" thickBot="1" x14ac:dyDescent="0.3">
      <c r="A9" s="36" t="str" cm="1">
        <f t="array" ref="A9">INDEX(A3:E6,H3,1)</f>
        <v>Tablet</v>
      </c>
      <c r="B9" s="37" t="str">
        <f>INDEX($A$3:$E$6,MATCH(A9,A3:A6,0),2)</f>
        <v>12 Pol</v>
      </c>
      <c r="C9" s="38">
        <f>INDEX(A3:E6,MATCH(A9,A3:A6,0),3)</f>
        <v>1400</v>
      </c>
      <c r="D9" s="37">
        <f>INDEX(A3:E6,MATCH(A9,A3:A6,0),4)</f>
        <v>28</v>
      </c>
      <c r="E9" s="39">
        <f>INDEX(A3:E6,MATCH(A9,A3:A6,0),5)</f>
        <v>39200</v>
      </c>
    </row>
  </sheetData>
  <mergeCells count="1">
    <mergeCell ref="A1:E1"/>
  </mergeCells>
  <dataValidations count="1">
    <dataValidation type="list" allowBlank="1" showInputMessage="1" showErrorMessage="1" sqref="G3" xr:uid="{B909CBF4-F8C9-4011-8A03-5849345D9CF5}">
      <formula1>$A$3:$A$6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K17"/>
  <sheetViews>
    <sheetView zoomScale="115" zoomScaleNormal="115" workbookViewId="0">
      <selection activeCell="K15" sqref="K15"/>
    </sheetView>
  </sheetViews>
  <sheetFormatPr defaultRowHeight="15" x14ac:dyDescent="0.25"/>
  <cols>
    <col min="1" max="1" width="26.5703125" bestFit="1" customWidth="1"/>
    <col min="2" max="2" width="14" customWidth="1"/>
    <col min="3" max="3" width="3.5703125" customWidth="1"/>
    <col min="4" max="4" width="7.7109375" bestFit="1" customWidth="1"/>
    <col min="5" max="5" width="13.140625" style="1" customWidth="1"/>
    <col min="6" max="6" width="3.5703125" customWidth="1"/>
    <col min="7" max="7" width="13.85546875" customWidth="1"/>
    <col min="9" max="9" width="4.140625" customWidth="1"/>
  </cols>
  <sheetData>
    <row r="1" spans="1:11" s="10" customFormat="1" ht="30" x14ac:dyDescent="0.25">
      <c r="A1" s="8" t="s">
        <v>0</v>
      </c>
      <c r="B1" s="8" t="s">
        <v>48</v>
      </c>
      <c r="D1" s="8" t="s">
        <v>49</v>
      </c>
      <c r="E1" s="9" t="s">
        <v>50</v>
      </c>
      <c r="G1" s="50" t="s">
        <v>57</v>
      </c>
      <c r="H1" s="51">
        <f ca="1">SUMIF(A2:B11,E2,B2:B11)</f>
        <v>398</v>
      </c>
      <c r="J1" s="4" t="s">
        <v>3</v>
      </c>
      <c r="K1" s="4">
        <v>1</v>
      </c>
    </row>
    <row r="2" spans="1:11" x14ac:dyDescent="0.25">
      <c r="A2" s="4" t="s">
        <v>3</v>
      </c>
      <c r="B2" s="4">
        <v>300</v>
      </c>
      <c r="D2" s="40">
        <v>4</v>
      </c>
      <c r="E2" s="84" t="str">
        <f>CHOOSE(D2,J1,J2,J3,J4)</f>
        <v>TV</v>
      </c>
      <c r="J2" s="4" t="s">
        <v>5</v>
      </c>
      <c r="K2" s="4">
        <v>2</v>
      </c>
    </row>
    <row r="3" spans="1:11" x14ac:dyDescent="0.25">
      <c r="A3" s="4" t="s">
        <v>5</v>
      </c>
      <c r="B3" s="4">
        <v>240</v>
      </c>
      <c r="E3" t="str">
        <f ca="1">_xlfn.FORMULATEXT(E2)</f>
        <v>=ESCOLHER(D2;J1;J2;J3;J4)</v>
      </c>
      <c r="J3" s="4" t="s">
        <v>4</v>
      </c>
      <c r="K3" s="4">
        <v>3</v>
      </c>
    </row>
    <row r="4" spans="1:11" x14ac:dyDescent="0.25">
      <c r="A4" s="4" t="s">
        <v>4</v>
      </c>
      <c r="B4" s="4">
        <v>200</v>
      </c>
      <c r="E4"/>
      <c r="J4" s="4" t="s">
        <v>2</v>
      </c>
      <c r="K4" s="4">
        <v>4</v>
      </c>
    </row>
    <row r="5" spans="1:11" x14ac:dyDescent="0.25">
      <c r="A5" s="4" t="s">
        <v>2</v>
      </c>
      <c r="B5" s="41">
        <v>199</v>
      </c>
      <c r="D5">
        <v>1</v>
      </c>
      <c r="E5" t="str">
        <f>INDEX(J1:K4,MATCH(D5,K1:K4,0),1)</f>
        <v>Celular</v>
      </c>
    </row>
    <row r="6" spans="1:11" x14ac:dyDescent="0.25">
      <c r="A6" s="4" t="s">
        <v>3</v>
      </c>
      <c r="B6" s="4">
        <v>300</v>
      </c>
      <c r="E6" s="1" t="str">
        <f ca="1">_xlfn.FORMULATEXT(E5)</f>
        <v>=ÍNDICE(J1:K4;CORRESP(D5;K1:K4;0);1)</v>
      </c>
    </row>
    <row r="7" spans="1:11" x14ac:dyDescent="0.25">
      <c r="A7" s="4" t="s">
        <v>5</v>
      </c>
      <c r="B7" s="4">
        <v>240</v>
      </c>
    </row>
    <row r="8" spans="1:11" x14ac:dyDescent="0.25">
      <c r="A8" s="4" t="s">
        <v>4</v>
      </c>
      <c r="B8" s="4">
        <v>200</v>
      </c>
      <c r="D8">
        <v>1</v>
      </c>
      <c r="E8" s="1" t="str" cm="1">
        <f t="array" ref="E8">INDEX(J1:K4,D8,1)</f>
        <v>Celular</v>
      </c>
    </row>
    <row r="9" spans="1:11" x14ac:dyDescent="0.25">
      <c r="A9" s="4" t="s">
        <v>2</v>
      </c>
      <c r="B9" s="41">
        <v>199</v>
      </c>
      <c r="E9" s="1" t="str">
        <f ca="1">_xlfn.FORMULATEXT(E8)</f>
        <v>=ÍNDICE(J1:K4;D8;1)</v>
      </c>
    </row>
    <row r="10" spans="1:11" x14ac:dyDescent="0.25">
      <c r="A10" s="4" t="s">
        <v>3</v>
      </c>
      <c r="B10" s="4">
        <v>300</v>
      </c>
    </row>
    <row r="11" spans="1:11" x14ac:dyDescent="0.25">
      <c r="A11" s="4" t="s">
        <v>5</v>
      </c>
      <c r="B11" s="4">
        <v>240</v>
      </c>
    </row>
    <row r="13" spans="1:11" x14ac:dyDescent="0.25">
      <c r="A13" t="s">
        <v>73</v>
      </c>
      <c r="B13">
        <f>SUM(B2:B11)</f>
        <v>2418</v>
      </c>
    </row>
    <row r="14" spans="1:11" x14ac:dyDescent="0.25">
      <c r="A14" t="s">
        <v>74</v>
      </c>
      <c r="B14">
        <f ca="1">H1</f>
        <v>398</v>
      </c>
    </row>
    <row r="16" spans="1:11" x14ac:dyDescent="0.25">
      <c r="A16" t="s">
        <v>74</v>
      </c>
      <c r="B16" s="86">
        <f ca="1">B14/B13</f>
        <v>0.16459884201819686</v>
      </c>
    </row>
    <row r="17" spans="1:2" x14ac:dyDescent="0.25">
      <c r="A17" t="s">
        <v>75</v>
      </c>
      <c r="B17" s="68">
        <v>1</v>
      </c>
    </row>
  </sheetData>
  <dataValidations count="1">
    <dataValidation type="list" allowBlank="1" showInputMessage="1" showErrorMessage="1" sqref="D2 D5 D8" xr:uid="{00000000-0002-0000-0F00-000000000000}">
      <formula1>"1,2,3,4"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" r:id="rId4" name="Spinner 10">
              <controlPr defaultSize="0" autoPict="0">
                <anchor moveWithCells="1" sizeWithCells="1">
                  <from>
                    <xdr:col>9</xdr:col>
                    <xdr:colOff>180975</xdr:colOff>
                    <xdr:row>8</xdr:row>
                    <xdr:rowOff>57150</xdr:rowOff>
                  </from>
                  <to>
                    <xdr:col>9</xdr:col>
                    <xdr:colOff>409575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:J11"/>
  <sheetViews>
    <sheetView zoomScale="140" zoomScaleNormal="140" workbookViewId="0">
      <selection activeCell="D4" sqref="D4"/>
    </sheetView>
  </sheetViews>
  <sheetFormatPr defaultRowHeight="15" x14ac:dyDescent="0.25"/>
  <cols>
    <col min="1" max="2" width="14" customWidth="1"/>
    <col min="3" max="3" width="4.85546875" customWidth="1"/>
    <col min="4" max="4" width="11" bestFit="1" customWidth="1"/>
    <col min="5" max="5" width="13.140625" style="1" customWidth="1"/>
    <col min="6" max="6" width="5" customWidth="1"/>
    <col min="7" max="7" width="12.42578125" customWidth="1"/>
    <col min="8" max="9" width="7" customWidth="1"/>
  </cols>
  <sheetData>
    <row r="1" spans="1:10" s="10" customFormat="1" ht="30" x14ac:dyDescent="0.25">
      <c r="A1" s="8" t="s">
        <v>0</v>
      </c>
      <c r="B1" s="8" t="s">
        <v>48</v>
      </c>
      <c r="D1" s="83" t="s">
        <v>54</v>
      </c>
      <c r="E1" s="83"/>
      <c r="F1" s="45"/>
      <c r="G1" s="46"/>
      <c r="J1" s="4" t="s">
        <v>3</v>
      </c>
    </row>
    <row r="2" spans="1:10" x14ac:dyDescent="0.25">
      <c r="A2" s="4" t="s">
        <v>3</v>
      </c>
      <c r="B2" s="4">
        <v>322</v>
      </c>
      <c r="D2" s="4" t="s">
        <v>3</v>
      </c>
      <c r="E2" s="85">
        <f ca="1">AVERAGEIF(A2:B11,D2,B2:B11)</f>
        <v>337.33333333333331</v>
      </c>
      <c r="J2" s="4" t="s">
        <v>5</v>
      </c>
    </row>
    <row r="3" spans="1:10" x14ac:dyDescent="0.25">
      <c r="A3" s="4" t="s">
        <v>5</v>
      </c>
      <c r="B3" s="4">
        <v>240</v>
      </c>
      <c r="E3"/>
      <c r="J3" s="4" t="s">
        <v>4</v>
      </c>
    </row>
    <row r="4" spans="1:10" x14ac:dyDescent="0.25">
      <c r="A4" s="4" t="s">
        <v>4</v>
      </c>
      <c r="B4" s="4">
        <v>200</v>
      </c>
      <c r="E4"/>
      <c r="J4" s="4" t="s">
        <v>2</v>
      </c>
    </row>
    <row r="5" spans="1:10" x14ac:dyDescent="0.25">
      <c r="A5" s="4" t="s">
        <v>2</v>
      </c>
      <c r="B5" s="41">
        <v>199</v>
      </c>
      <c r="E5"/>
    </row>
    <row r="6" spans="1:10" x14ac:dyDescent="0.25">
      <c r="A6" s="4" t="s">
        <v>3</v>
      </c>
      <c r="B6" s="4">
        <v>300</v>
      </c>
      <c r="E6"/>
    </row>
    <row r="7" spans="1:10" x14ac:dyDescent="0.25">
      <c r="A7" s="4" t="s">
        <v>5</v>
      </c>
      <c r="B7" s="4">
        <v>312</v>
      </c>
      <c r="E7"/>
    </row>
    <row r="8" spans="1:10" x14ac:dyDescent="0.25">
      <c r="A8" s="4" t="s">
        <v>4</v>
      </c>
      <c r="B8" s="4">
        <v>285</v>
      </c>
    </row>
    <row r="9" spans="1:10" x14ac:dyDescent="0.25">
      <c r="A9" s="4" t="s">
        <v>2</v>
      </c>
      <c r="B9" s="41">
        <v>215</v>
      </c>
    </row>
    <row r="10" spans="1:10" x14ac:dyDescent="0.25">
      <c r="A10" s="4" t="s">
        <v>3</v>
      </c>
      <c r="B10" s="4">
        <v>390</v>
      </c>
    </row>
    <row r="11" spans="1:10" x14ac:dyDescent="0.25">
      <c r="A11" s="4" t="s">
        <v>5</v>
      </c>
      <c r="B11" s="4">
        <v>255</v>
      </c>
    </row>
  </sheetData>
  <mergeCells count="1">
    <mergeCell ref="D1:E1"/>
  </mergeCells>
  <dataValidations count="1">
    <dataValidation type="list" allowBlank="1" showInputMessage="1" showErrorMessage="1" sqref="D2" xr:uid="{84B504F1-E4C2-4907-8B1A-FBFCB460A890}">
      <formula1>$J$1:$J$4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J18"/>
  <sheetViews>
    <sheetView zoomScaleNormal="100" workbookViewId="0">
      <selection activeCell="J9" sqref="J9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4.42578125" bestFit="1" customWidth="1"/>
    <col min="7" max="7" width="7" customWidth="1"/>
    <col min="8" max="9" width="15.5703125" customWidth="1"/>
    <col min="10" max="10" width="25.85546875" style="1" bestFit="1" customWidth="1"/>
  </cols>
  <sheetData>
    <row r="1" spans="1:10" s="10" customFormat="1" ht="23.25" x14ac:dyDescent="0.25">
      <c r="A1" s="78" t="s">
        <v>23</v>
      </c>
      <c r="B1" s="78"/>
      <c r="C1" s="78"/>
      <c r="D1" s="78"/>
      <c r="E1" s="78"/>
      <c r="F1" s="78"/>
      <c r="H1" s="78" t="s">
        <v>29</v>
      </c>
      <c r="I1" s="78"/>
      <c r="J1" s="78"/>
    </row>
    <row r="2" spans="1:10" x14ac:dyDescent="0.25">
      <c r="A2" s="73"/>
      <c r="B2" s="73"/>
      <c r="C2" s="73"/>
      <c r="D2" s="73"/>
      <c r="E2" s="73"/>
      <c r="F2" s="73"/>
      <c r="H2" s="73"/>
      <c r="I2" s="73"/>
      <c r="J2" s="73"/>
    </row>
    <row r="3" spans="1:10" s="22" customFormat="1" ht="31.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43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>
        <f>AVERAGEIFS(F4:F12,A4:A12,H4,B4:B12,I4)</f>
        <v>10800</v>
      </c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44</v>
      </c>
      <c r="J5" s="5" t="str">
        <f>IFERROR(AVERAGEIFS(F4:F12,A4:A12,H5,B4:B12,I5),"Critérios Não Encontrados")</f>
        <v>Critérios Não Encontrados</v>
      </c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>
        <f>AVERAGEIFS(F4:F12,A4:A12,H6,B4:B12,I6)</f>
        <v>28000</v>
      </c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>
        <f>AVERAGEIFS(F4:F12,A4:A12,H7,B4:B12,I7)</f>
        <v>42750</v>
      </c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47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 t="s">
        <v>76</v>
      </c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45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15" spans="1:10" x14ac:dyDescent="0.25">
      <c r="A15" s="4" t="s">
        <v>44</v>
      </c>
    </row>
    <row r="16" spans="1:10" x14ac:dyDescent="0.25">
      <c r="A16" s="4" t="s">
        <v>45</v>
      </c>
    </row>
    <row r="17" spans="1:1" x14ac:dyDescent="0.25">
      <c r="A17" s="4" t="s">
        <v>46</v>
      </c>
    </row>
    <row r="18" spans="1:1" x14ac:dyDescent="0.25">
      <c r="A18" s="4" t="s">
        <v>47</v>
      </c>
    </row>
  </sheetData>
  <mergeCells count="4">
    <mergeCell ref="A1:F1"/>
    <mergeCell ref="H1:J1"/>
    <mergeCell ref="A2:F2"/>
    <mergeCell ref="H2:J2"/>
  </mergeCells>
  <dataValidations count="1">
    <dataValidation type="list" allowBlank="1" showInputMessage="1" showErrorMessage="1" sqref="I4:I7" xr:uid="{00000000-0002-0000-1100-000000000000}">
      <formula1>$A$15:$A$18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6C8D0-763E-4A95-9452-346F4E7E7E06}">
  <sheetPr codeName="Plan19"/>
  <dimension ref="A1:I35"/>
  <sheetViews>
    <sheetView zoomScale="80" zoomScaleNormal="80" workbookViewId="0">
      <selection activeCell="C12" sqref="C12"/>
    </sheetView>
  </sheetViews>
  <sheetFormatPr defaultColWidth="20.5703125" defaultRowHeight="15" x14ac:dyDescent="0.25"/>
  <cols>
    <col min="4" max="5" width="20.5703125" style="1"/>
  </cols>
  <sheetData>
    <row r="1" spans="1:6" s="55" customFormat="1" ht="37.5" x14ac:dyDescent="0.25">
      <c r="A1" s="15" t="s">
        <v>58</v>
      </c>
      <c r="B1" s="15" t="s">
        <v>42</v>
      </c>
      <c r="C1" s="15" t="s">
        <v>12</v>
      </c>
      <c r="D1" s="16" t="s">
        <v>16</v>
      </c>
      <c r="E1" s="16" t="s">
        <v>1</v>
      </c>
      <c r="F1" s="15" t="s">
        <v>7</v>
      </c>
    </row>
    <row r="2" spans="1:6" x14ac:dyDescent="0.25">
      <c r="A2" s="52" t="s">
        <v>2</v>
      </c>
      <c r="B2" s="52" t="s">
        <v>44</v>
      </c>
      <c r="C2" s="52" t="s">
        <v>13</v>
      </c>
      <c r="D2" s="53">
        <v>1200</v>
      </c>
      <c r="E2" s="54">
        <v>10</v>
      </c>
      <c r="F2" s="53">
        <f>D2*E2</f>
        <v>12000</v>
      </c>
    </row>
    <row r="3" spans="1:6" x14ac:dyDescent="0.25">
      <c r="A3" s="4" t="s">
        <v>3</v>
      </c>
      <c r="B3" s="4" t="s">
        <v>45</v>
      </c>
      <c r="C3" s="4" t="s">
        <v>14</v>
      </c>
      <c r="D3" s="5">
        <v>2200</v>
      </c>
      <c r="E3" s="6">
        <v>32</v>
      </c>
      <c r="F3" s="5">
        <f t="shared" ref="F3:F10" si="0">D3*E3</f>
        <v>70400</v>
      </c>
    </row>
    <row r="4" spans="1:6" x14ac:dyDescent="0.25">
      <c r="A4" s="4" t="s">
        <v>4</v>
      </c>
      <c r="B4" s="4" t="s">
        <v>46</v>
      </c>
      <c r="C4" s="4" t="s">
        <v>15</v>
      </c>
      <c r="D4" s="5">
        <v>1400</v>
      </c>
      <c r="E4" s="6">
        <v>28</v>
      </c>
      <c r="F4" s="5">
        <f t="shared" si="0"/>
        <v>39200</v>
      </c>
    </row>
    <row r="5" spans="1:6" x14ac:dyDescent="0.25">
      <c r="A5" s="4" t="s">
        <v>5</v>
      </c>
      <c r="B5" s="4" t="s">
        <v>47</v>
      </c>
      <c r="C5" s="4" t="s">
        <v>14</v>
      </c>
      <c r="D5" s="5">
        <v>900</v>
      </c>
      <c r="E5" s="6">
        <v>40</v>
      </c>
      <c r="F5" s="5">
        <f t="shared" si="0"/>
        <v>36000</v>
      </c>
    </row>
    <row r="6" spans="1:6" x14ac:dyDescent="0.25">
      <c r="A6" s="4" t="s">
        <v>2</v>
      </c>
      <c r="B6" s="4" t="s">
        <v>44</v>
      </c>
      <c r="C6" s="4" t="s">
        <v>13</v>
      </c>
      <c r="D6" s="5">
        <v>1200</v>
      </c>
      <c r="E6" s="6">
        <v>8</v>
      </c>
      <c r="F6" s="5">
        <f t="shared" si="0"/>
        <v>9600</v>
      </c>
    </row>
    <row r="7" spans="1:6" x14ac:dyDescent="0.25">
      <c r="A7" s="4" t="s">
        <v>3</v>
      </c>
      <c r="B7" s="4" t="s">
        <v>47</v>
      </c>
      <c r="C7" s="4" t="s">
        <v>14</v>
      </c>
      <c r="D7" s="5">
        <v>2200</v>
      </c>
      <c r="E7" s="6">
        <v>40</v>
      </c>
      <c r="F7" s="5">
        <f t="shared" si="0"/>
        <v>88000</v>
      </c>
    </row>
    <row r="8" spans="1:6" x14ac:dyDescent="0.25">
      <c r="A8" s="4" t="s">
        <v>4</v>
      </c>
      <c r="B8" s="4" t="s">
        <v>46</v>
      </c>
      <c r="C8" s="4" t="s">
        <v>15</v>
      </c>
      <c r="D8" s="5">
        <v>1400</v>
      </c>
      <c r="E8" s="6">
        <v>12</v>
      </c>
      <c r="F8" s="5">
        <f t="shared" si="0"/>
        <v>16800</v>
      </c>
    </row>
    <row r="9" spans="1:6" x14ac:dyDescent="0.25">
      <c r="A9" s="4" t="s">
        <v>5</v>
      </c>
      <c r="B9" s="4" t="s">
        <v>47</v>
      </c>
      <c r="C9" s="4" t="s">
        <v>14</v>
      </c>
      <c r="D9" s="5">
        <v>900</v>
      </c>
      <c r="E9" s="6">
        <v>55</v>
      </c>
      <c r="F9" s="5">
        <f t="shared" si="0"/>
        <v>49500</v>
      </c>
    </row>
    <row r="10" spans="1:6" x14ac:dyDescent="0.25">
      <c r="A10" s="4" t="s">
        <v>2</v>
      </c>
      <c r="B10" s="4" t="s">
        <v>45</v>
      </c>
      <c r="C10" s="4" t="s">
        <v>13</v>
      </c>
      <c r="D10" s="5">
        <v>1200</v>
      </c>
      <c r="E10" s="6">
        <v>26</v>
      </c>
      <c r="F10" s="5">
        <f t="shared" si="0"/>
        <v>31200</v>
      </c>
    </row>
    <row r="11" spans="1:6" x14ac:dyDescent="0.25">
      <c r="A11" s="4" t="s">
        <v>2</v>
      </c>
      <c r="B11" s="4" t="s">
        <v>44</v>
      </c>
      <c r="C11" s="4" t="s">
        <v>13</v>
      </c>
      <c r="D11" s="5">
        <v>1200</v>
      </c>
      <c r="E11" s="6">
        <v>10</v>
      </c>
      <c r="F11" s="5">
        <f>D11*E11</f>
        <v>12000</v>
      </c>
    </row>
    <row r="12" spans="1:6" x14ac:dyDescent="0.25">
      <c r="A12" s="4" t="s">
        <v>3</v>
      </c>
      <c r="B12" s="4" t="s">
        <v>45</v>
      </c>
      <c r="C12" s="4" t="s">
        <v>14</v>
      </c>
      <c r="D12" s="5">
        <v>2200</v>
      </c>
      <c r="E12" s="6">
        <v>32</v>
      </c>
      <c r="F12" s="5">
        <f t="shared" ref="F12:F19" si="1">D12*E12</f>
        <v>70400</v>
      </c>
    </row>
    <row r="13" spans="1:6" x14ac:dyDescent="0.25">
      <c r="A13" s="4" t="s">
        <v>4</v>
      </c>
      <c r="B13" s="4" t="s">
        <v>46</v>
      </c>
      <c r="C13" s="4" t="s">
        <v>15</v>
      </c>
      <c r="D13" s="5">
        <v>1400</v>
      </c>
      <c r="E13" s="6">
        <v>28</v>
      </c>
      <c r="F13" s="5">
        <f t="shared" si="1"/>
        <v>39200</v>
      </c>
    </row>
    <row r="14" spans="1:6" x14ac:dyDescent="0.25">
      <c r="A14" s="4" t="s">
        <v>5</v>
      </c>
      <c r="B14" s="4" t="s">
        <v>47</v>
      </c>
      <c r="C14" s="4" t="s">
        <v>14</v>
      </c>
      <c r="D14" s="5">
        <v>900</v>
      </c>
      <c r="E14" s="6">
        <v>40</v>
      </c>
      <c r="F14" s="5">
        <f t="shared" si="1"/>
        <v>36000</v>
      </c>
    </row>
    <row r="15" spans="1:6" x14ac:dyDescent="0.25">
      <c r="A15" s="4" t="s">
        <v>2</v>
      </c>
      <c r="B15" s="4" t="s">
        <v>44</v>
      </c>
      <c r="C15" s="4" t="s">
        <v>13</v>
      </c>
      <c r="D15" s="5">
        <v>1200</v>
      </c>
      <c r="E15" s="6">
        <v>8</v>
      </c>
      <c r="F15" s="5">
        <f t="shared" si="1"/>
        <v>9600</v>
      </c>
    </row>
    <row r="16" spans="1:6" x14ac:dyDescent="0.25">
      <c r="A16" s="4" t="s">
        <v>3</v>
      </c>
      <c r="B16" s="4" t="s">
        <v>47</v>
      </c>
      <c r="C16" s="4" t="s">
        <v>14</v>
      </c>
      <c r="D16" s="5">
        <v>2200</v>
      </c>
      <c r="E16" s="6">
        <v>40</v>
      </c>
      <c r="F16" s="5">
        <f t="shared" si="1"/>
        <v>88000</v>
      </c>
    </row>
    <row r="17" spans="1:9" x14ac:dyDescent="0.25">
      <c r="A17" s="4" t="s">
        <v>4</v>
      </c>
      <c r="B17" s="4" t="s">
        <v>46</v>
      </c>
      <c r="C17" s="4" t="s">
        <v>15</v>
      </c>
      <c r="D17" s="5">
        <v>1400</v>
      </c>
      <c r="E17" s="6">
        <v>12</v>
      </c>
      <c r="F17" s="5">
        <f t="shared" si="1"/>
        <v>16800</v>
      </c>
    </row>
    <row r="18" spans="1:9" x14ac:dyDescent="0.25">
      <c r="A18" s="4" t="s">
        <v>5</v>
      </c>
      <c r="B18" s="4" t="s">
        <v>47</v>
      </c>
      <c r="C18" s="4" t="s">
        <v>14</v>
      </c>
      <c r="D18" s="5">
        <v>900</v>
      </c>
      <c r="E18" s="6">
        <v>55</v>
      </c>
      <c r="F18" s="5">
        <f t="shared" si="1"/>
        <v>49500</v>
      </c>
    </row>
    <row r="19" spans="1:9" x14ac:dyDescent="0.25">
      <c r="A19" s="4" t="s">
        <v>2</v>
      </c>
      <c r="B19" s="4" t="s">
        <v>45</v>
      </c>
      <c r="C19" s="4" t="s">
        <v>13</v>
      </c>
      <c r="D19" s="5">
        <v>1200</v>
      </c>
      <c r="E19" s="6">
        <v>26</v>
      </c>
      <c r="F19" s="5">
        <f t="shared" si="1"/>
        <v>31200</v>
      </c>
    </row>
    <row r="20" spans="1:9" x14ac:dyDescent="0.25">
      <c r="A20" s="4" t="s">
        <v>2</v>
      </c>
      <c r="B20" s="4" t="s">
        <v>44</v>
      </c>
      <c r="C20" s="4" t="s">
        <v>13</v>
      </c>
      <c r="D20" s="5">
        <v>1200</v>
      </c>
      <c r="E20" s="6">
        <v>10</v>
      </c>
      <c r="F20" s="5">
        <f>D20*E20</f>
        <v>12000</v>
      </c>
    </row>
    <row r="21" spans="1:9" x14ac:dyDescent="0.25">
      <c r="A21" s="4" t="s">
        <v>3</v>
      </c>
      <c r="B21" s="4" t="s">
        <v>45</v>
      </c>
      <c r="C21" s="4" t="s">
        <v>14</v>
      </c>
      <c r="D21" s="5">
        <v>2200</v>
      </c>
      <c r="E21" s="6">
        <v>32</v>
      </c>
      <c r="F21" s="5">
        <f t="shared" ref="F21:F28" si="2">D21*E21</f>
        <v>70400</v>
      </c>
    </row>
    <row r="22" spans="1:9" x14ac:dyDescent="0.25">
      <c r="A22" s="4" t="s">
        <v>4</v>
      </c>
      <c r="B22" s="4" t="s">
        <v>46</v>
      </c>
      <c r="C22" s="4" t="s">
        <v>15</v>
      </c>
      <c r="D22" s="5">
        <v>1400</v>
      </c>
      <c r="E22" s="6">
        <v>28</v>
      </c>
      <c r="F22" s="5">
        <f t="shared" si="2"/>
        <v>39200</v>
      </c>
      <c r="I22" t="s">
        <v>76</v>
      </c>
    </row>
    <row r="23" spans="1:9" x14ac:dyDescent="0.25">
      <c r="A23" s="4" t="s">
        <v>5</v>
      </c>
      <c r="B23" s="4" t="s">
        <v>47</v>
      </c>
      <c r="C23" s="4" t="s">
        <v>14</v>
      </c>
      <c r="D23" s="5">
        <v>900</v>
      </c>
      <c r="E23" s="6">
        <v>40</v>
      </c>
      <c r="F23" s="5">
        <f t="shared" si="2"/>
        <v>36000</v>
      </c>
    </row>
    <row r="24" spans="1:9" x14ac:dyDescent="0.25">
      <c r="A24" s="4" t="s">
        <v>2</v>
      </c>
      <c r="B24" s="4" t="s">
        <v>44</v>
      </c>
      <c r="C24" s="4" t="s">
        <v>13</v>
      </c>
      <c r="D24" s="5">
        <v>1200</v>
      </c>
      <c r="E24" s="6">
        <v>8</v>
      </c>
      <c r="F24" s="5">
        <f t="shared" si="2"/>
        <v>9600</v>
      </c>
    </row>
    <row r="25" spans="1:9" x14ac:dyDescent="0.25">
      <c r="A25" s="4" t="s">
        <v>3</v>
      </c>
      <c r="B25" s="4" t="s">
        <v>47</v>
      </c>
      <c r="C25" s="4" t="s">
        <v>14</v>
      </c>
      <c r="D25" s="5">
        <v>2200</v>
      </c>
      <c r="E25" s="6">
        <v>40</v>
      </c>
      <c r="F25" s="5">
        <f t="shared" si="2"/>
        <v>88000</v>
      </c>
    </row>
    <row r="26" spans="1:9" x14ac:dyDescent="0.25">
      <c r="A26" s="4" t="s">
        <v>4</v>
      </c>
      <c r="B26" s="4" t="s">
        <v>46</v>
      </c>
      <c r="C26" s="4" t="s">
        <v>15</v>
      </c>
      <c r="D26" s="5">
        <v>1400</v>
      </c>
      <c r="E26" s="6">
        <v>12</v>
      </c>
      <c r="F26" s="5">
        <f t="shared" si="2"/>
        <v>16800</v>
      </c>
    </row>
    <row r="27" spans="1:9" x14ac:dyDescent="0.25">
      <c r="A27" s="4" t="s">
        <v>5</v>
      </c>
      <c r="B27" s="4" t="s">
        <v>47</v>
      </c>
      <c r="C27" s="4" t="s">
        <v>14</v>
      </c>
      <c r="D27" s="5">
        <v>900</v>
      </c>
      <c r="E27" s="6">
        <v>55</v>
      </c>
      <c r="F27" s="5">
        <f t="shared" si="2"/>
        <v>49500</v>
      </c>
    </row>
    <row r="28" spans="1:9" x14ac:dyDescent="0.25">
      <c r="A28" s="4" t="s">
        <v>2</v>
      </c>
      <c r="B28" s="4" t="s">
        <v>45</v>
      </c>
      <c r="C28" s="4" t="s">
        <v>13</v>
      </c>
      <c r="D28" s="5">
        <v>1200</v>
      </c>
      <c r="E28" s="6">
        <v>26</v>
      </c>
      <c r="F28" s="5">
        <f t="shared" si="2"/>
        <v>31200</v>
      </c>
    </row>
    <row r="29" spans="1:9" x14ac:dyDescent="0.25">
      <c r="A29" s="4" t="s">
        <v>2</v>
      </c>
      <c r="B29" s="4" t="s">
        <v>44</v>
      </c>
      <c r="C29" s="4" t="s">
        <v>13</v>
      </c>
      <c r="D29" s="5">
        <v>1200</v>
      </c>
      <c r="E29" s="6">
        <v>10</v>
      </c>
      <c r="F29" s="5">
        <f>D29*E29</f>
        <v>12000</v>
      </c>
    </row>
    <row r="30" spans="1:9" x14ac:dyDescent="0.25">
      <c r="A30" s="4" t="s">
        <v>3</v>
      </c>
      <c r="B30" s="4" t="s">
        <v>45</v>
      </c>
      <c r="C30" s="4" t="s">
        <v>14</v>
      </c>
      <c r="D30" s="5">
        <v>2200</v>
      </c>
      <c r="E30" s="6">
        <v>32</v>
      </c>
      <c r="F30" s="5">
        <f t="shared" ref="F30:F35" si="3">D30*E30</f>
        <v>70400</v>
      </c>
    </row>
    <row r="31" spans="1:9" x14ac:dyDescent="0.25">
      <c r="A31" s="4" t="s">
        <v>4</v>
      </c>
      <c r="B31" s="4" t="s">
        <v>46</v>
      </c>
      <c r="C31" s="4" t="s">
        <v>15</v>
      </c>
      <c r="D31" s="5">
        <v>1400</v>
      </c>
      <c r="E31" s="6">
        <v>28</v>
      </c>
      <c r="F31" s="5">
        <f t="shared" si="3"/>
        <v>39200</v>
      </c>
    </row>
    <row r="32" spans="1:9" x14ac:dyDescent="0.25">
      <c r="A32" s="4" t="s">
        <v>5</v>
      </c>
      <c r="B32" s="4" t="s">
        <v>47</v>
      </c>
      <c r="C32" s="4" t="s">
        <v>14</v>
      </c>
      <c r="D32" s="5">
        <v>900</v>
      </c>
      <c r="E32" s="6">
        <v>40</v>
      </c>
      <c r="F32" s="5">
        <f t="shared" si="3"/>
        <v>36000</v>
      </c>
    </row>
    <row r="33" spans="1:6" x14ac:dyDescent="0.25">
      <c r="A33" s="4" t="s">
        <v>2</v>
      </c>
      <c r="B33" s="4" t="s">
        <v>44</v>
      </c>
      <c r="C33" s="4" t="s">
        <v>13</v>
      </c>
      <c r="D33" s="5">
        <v>1200</v>
      </c>
      <c r="E33" s="6">
        <v>8</v>
      </c>
      <c r="F33" s="5">
        <f t="shared" si="3"/>
        <v>9600</v>
      </c>
    </row>
    <row r="34" spans="1:6" x14ac:dyDescent="0.25">
      <c r="A34" s="4" t="s">
        <v>3</v>
      </c>
      <c r="B34" s="4" t="s">
        <v>47</v>
      </c>
      <c r="C34" s="4" t="s">
        <v>14</v>
      </c>
      <c r="D34" s="5">
        <v>2200</v>
      </c>
      <c r="E34" s="6">
        <v>40</v>
      </c>
      <c r="F34" s="5">
        <f t="shared" si="3"/>
        <v>88000</v>
      </c>
    </row>
    <row r="35" spans="1:6" x14ac:dyDescent="0.25">
      <c r="A35" s="4" t="s">
        <v>4</v>
      </c>
      <c r="B35" s="4" t="s">
        <v>46</v>
      </c>
      <c r="C35" s="4" t="s">
        <v>15</v>
      </c>
      <c r="D35" s="5">
        <v>1400</v>
      </c>
      <c r="E35" s="6">
        <v>12</v>
      </c>
      <c r="F35" s="5">
        <f t="shared" si="3"/>
        <v>16800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5D39-F06A-43B8-908B-60DE3B37DA6F}">
  <dimension ref="A3:E8"/>
  <sheetViews>
    <sheetView tabSelected="1" zoomScale="70" zoomScaleNormal="70" workbookViewId="0">
      <selection activeCell="K10" sqref="K10"/>
    </sheetView>
  </sheetViews>
  <sheetFormatPr defaultRowHeight="15" x14ac:dyDescent="0.25"/>
  <cols>
    <col min="1" max="1" width="24" bestFit="1" customWidth="1"/>
    <col min="2" max="2" width="24.85546875" bestFit="1" customWidth="1"/>
    <col min="3" max="3" width="28.140625" customWidth="1"/>
    <col min="4" max="4" width="24" bestFit="1" customWidth="1"/>
    <col min="5" max="5" width="24.85546875" bestFit="1" customWidth="1"/>
    <col min="6" max="6" width="25.28515625" customWidth="1"/>
    <col min="7" max="7" width="7.140625" bestFit="1" customWidth="1"/>
    <col min="8" max="8" width="9.5703125" bestFit="1" customWidth="1"/>
    <col min="9" max="9" width="10.7109375" bestFit="1" customWidth="1"/>
    <col min="10" max="10" width="27.140625" bestFit="1" customWidth="1"/>
    <col min="11" max="11" width="23.85546875" bestFit="1" customWidth="1"/>
  </cols>
  <sheetData>
    <row r="3" spans="1:5" x14ac:dyDescent="0.25">
      <c r="A3" s="87" t="s">
        <v>78</v>
      </c>
      <c r="B3" t="s">
        <v>77</v>
      </c>
      <c r="D3" s="87" t="s">
        <v>78</v>
      </c>
      <c r="E3" t="s">
        <v>77</v>
      </c>
    </row>
    <row r="4" spans="1:5" x14ac:dyDescent="0.25">
      <c r="A4" s="88" t="s">
        <v>46</v>
      </c>
      <c r="B4" s="89">
        <v>224000</v>
      </c>
      <c r="D4" s="88" t="s">
        <v>46</v>
      </c>
      <c r="E4" s="69">
        <v>0.16840839034659047</v>
      </c>
    </row>
    <row r="5" spans="1:5" x14ac:dyDescent="0.25">
      <c r="A5" s="88" t="s">
        <v>44</v>
      </c>
      <c r="B5" s="89">
        <v>86400</v>
      </c>
      <c r="D5" s="88" t="s">
        <v>44</v>
      </c>
      <c r="E5" s="69">
        <v>6.4957521990827757E-2</v>
      </c>
    </row>
    <row r="6" spans="1:5" x14ac:dyDescent="0.25">
      <c r="A6" s="88" t="s">
        <v>47</v>
      </c>
      <c r="B6" s="89">
        <v>644500</v>
      </c>
      <c r="D6" s="88" t="s">
        <v>47</v>
      </c>
      <c r="E6" s="69">
        <v>0.4845500338320427</v>
      </c>
    </row>
    <row r="7" spans="1:5" x14ac:dyDescent="0.25">
      <c r="A7" s="88" t="s">
        <v>45</v>
      </c>
      <c r="B7" s="89">
        <v>375200</v>
      </c>
      <c r="D7" s="88" t="s">
        <v>45</v>
      </c>
      <c r="E7" s="69">
        <v>0.28208405383053908</v>
      </c>
    </row>
    <row r="8" spans="1:5" x14ac:dyDescent="0.25">
      <c r="A8" s="88" t="s">
        <v>19</v>
      </c>
      <c r="B8" s="89">
        <v>1330100</v>
      </c>
      <c r="D8" s="88" t="s">
        <v>19</v>
      </c>
      <c r="E8" s="69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Média</vt:lpstr>
      <vt:lpstr>Reajuste</vt:lpstr>
      <vt:lpstr>Nome Lista</vt:lpstr>
      <vt:lpstr>Validação</vt:lpstr>
      <vt:lpstr>Rept</vt:lpstr>
      <vt:lpstr>SE</vt:lpstr>
      <vt:lpstr>SE_Controle</vt:lpstr>
      <vt:lpstr>SomaSE</vt:lpstr>
      <vt:lpstr>SomaSES</vt:lpstr>
      <vt:lpstr>SEERRO</vt:lpstr>
      <vt:lpstr>Procv</vt:lpstr>
      <vt:lpstr>Proch</vt:lpstr>
      <vt:lpstr>Corresp</vt:lpstr>
      <vt:lpstr>Indice</vt:lpstr>
      <vt:lpstr>Indice 1</vt:lpstr>
      <vt:lpstr>Escolher</vt:lpstr>
      <vt:lpstr>MédiaSE</vt:lpstr>
      <vt:lpstr>MédiaSES</vt:lpstr>
      <vt:lpstr>Dados_Tab_Dinâmica</vt:lpstr>
      <vt:lpstr>Tab_Dinâmica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GUSTAVO SILVA DE OLIVEIRA</cp:lastModifiedBy>
  <dcterms:created xsi:type="dcterms:W3CDTF">2015-02-14T17:36:10Z</dcterms:created>
  <dcterms:modified xsi:type="dcterms:W3CDTF">2022-04-26T00:37:16Z</dcterms:modified>
</cp:coreProperties>
</file>