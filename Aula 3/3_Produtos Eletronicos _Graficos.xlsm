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3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Ex5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Ex6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3/"/>
    </mc:Choice>
  </mc:AlternateContent>
  <xr:revisionPtr revIDLastSave="236" documentId="13_ncr:1_{C28852A8-B533-4374-8F11-20275BCEC4DB}" xr6:coauthVersionLast="47" xr6:coauthVersionMax="47" xr10:uidLastSave="{5315BDCE-03A2-44D3-B4AC-CE3818B99123}"/>
  <bookViews>
    <workbookView xWindow="-120" yWindow="-120" windowWidth="21840" windowHeight="13140" tabRatio="939" activeTab="8" xr2:uid="{00000000-000D-0000-FFFF-FFFF00000000}"/>
  </bookViews>
  <sheets>
    <sheet name="Exemplo1" sheetId="17" r:id="rId1"/>
    <sheet name="Exemplo2" sheetId="26" r:id="rId2"/>
    <sheet name="Exemplo3" sheetId="7" r:id="rId3"/>
    <sheet name="Gráfico.Exemplo3" sheetId="29" r:id="rId4"/>
    <sheet name="Exemplo4" sheetId="24" r:id="rId5"/>
    <sheet name="Exemplo5" sheetId="15" r:id="rId6"/>
    <sheet name="Gráfico.Exemplo5" sheetId="30" r:id="rId7"/>
    <sheet name="Exemplo6" sheetId="28" r:id="rId8"/>
    <sheet name="Exemplo7" sheetId="31" r:id="rId9"/>
  </sheets>
  <definedNames>
    <definedName name="_xlnm._FilterDatabase" localSheetId="5" hidden="1">Exemplo5!$A$3:$E$12</definedName>
    <definedName name="_xlchart.v1.0" hidden="1">Exemplo5!$A$4:$B$12</definedName>
    <definedName name="_xlchart.v1.1" hidden="1">Exemplo5!$C$3</definedName>
    <definedName name="_xlchart.v1.10" hidden="1">Exemplo5!$A$4:$B$12</definedName>
    <definedName name="_xlchart.v1.11" hidden="1">Exemplo5!$E$3</definedName>
    <definedName name="_xlchart.v1.12" hidden="1">Exemplo5!$E$4:$E$12</definedName>
    <definedName name="_xlchart.v1.13" hidden="1">Exemplo5!$U$4:$W$15</definedName>
    <definedName name="_xlchart.v1.14" hidden="1">Exemplo5!$X$3</definedName>
    <definedName name="_xlchart.v1.15" hidden="1">Exemplo5!$X$4:$X$15</definedName>
    <definedName name="_xlchart.v1.16" hidden="1">Exemplo6!$A$3:$B$6</definedName>
    <definedName name="_xlchart.v1.17" hidden="1">Exemplo6!$F$2</definedName>
    <definedName name="_xlchart.v1.18" hidden="1">Exemplo6!$F$3:$F$6</definedName>
    <definedName name="_xlchart.v1.19" hidden="1">Exemplo7!$A$3:$A$7</definedName>
    <definedName name="_xlchart.v1.2" hidden="1">Exemplo5!$C$4:$C$12</definedName>
    <definedName name="_xlchart.v1.20" hidden="1">Exemplo7!$F$2</definedName>
    <definedName name="_xlchart.v1.21" hidden="1">Exemplo7!$F$3:$F$7</definedName>
    <definedName name="_xlchart.v1.22" hidden="1">Exemplo7!$A$3:$A$7</definedName>
    <definedName name="_xlchart.v1.23" hidden="1">Exemplo7!$F$2</definedName>
    <definedName name="_xlchart.v1.24" hidden="1">Exemplo7!$F$3:$F$7</definedName>
    <definedName name="_xlchart.v1.25" hidden="1">Exemplo7!$A$3:$B$6</definedName>
    <definedName name="_xlchart.v1.26" hidden="1">Exemplo7!$F$2</definedName>
    <definedName name="_xlchart.v1.27" hidden="1">Exemplo7!$F$3:$F$6</definedName>
    <definedName name="_xlchart.v1.3" hidden="1">Exemplo5!$D$3</definedName>
    <definedName name="_xlchart.v1.4" hidden="1">Exemplo5!$D$4:$D$12</definedName>
    <definedName name="_xlchart.v1.5" hidden="1">Exemplo5!$E$3</definedName>
    <definedName name="_xlchart.v1.6" hidden="1">Exemplo5!$E$4:$E$12</definedName>
    <definedName name="_xlchart.v1.7" hidden="1">Exemplo5!$A$4:$B$12</definedName>
    <definedName name="_xlchart.v1.8" hidden="1">Exemplo5!$E$3</definedName>
    <definedName name="_xlchart.v1.9" hidden="1">Exemplo5!$E$4:$E$12</definedName>
    <definedName name="list1" localSheetId="1">#REF!</definedName>
    <definedName name="list1" localSheetId="4">#REF!</definedName>
    <definedName name="list1" localSheetId="7">#REF!</definedName>
    <definedName name="list1" localSheetId="8">#REF!</definedName>
    <definedName name="list1">#REF!</definedName>
    <definedName name="prod" localSheetId="1">#REF!</definedName>
    <definedName name="prod" localSheetId="7">#REF!</definedName>
    <definedName name="prod" localSheetId="8">#REF!</definedName>
    <definedName name="prod">#REF!</definedName>
    <definedName name="tela" localSheetId="1">#REF!</definedName>
    <definedName name="tela" localSheetId="7">#REF!</definedName>
    <definedName name="tela" localSheetId="8">#REF!</definedName>
    <definedName name="t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1" l="1"/>
  <c r="F7" i="31" s="1"/>
  <c r="E7" i="31"/>
  <c r="D7" i="31"/>
  <c r="C7" i="31"/>
  <c r="F6" i="31"/>
  <c r="F5" i="31"/>
  <c r="F3" i="31"/>
  <c r="F8" i="17"/>
  <c r="F7" i="17"/>
  <c r="E7" i="28"/>
  <c r="D7" i="28"/>
  <c r="C7" i="28"/>
  <c r="F6" i="28"/>
  <c r="F5" i="28"/>
  <c r="F4" i="28"/>
  <c r="F3" i="28"/>
  <c r="F8" i="31" l="1"/>
  <c r="D8" i="31"/>
  <c r="C8" i="31"/>
  <c r="G7" i="31"/>
  <c r="G5" i="31"/>
  <c r="E8" i="31"/>
  <c r="G3" i="31"/>
  <c r="G6" i="31"/>
  <c r="G4" i="31"/>
  <c r="F7" i="28"/>
  <c r="G4" i="28"/>
  <c r="E8" i="28"/>
  <c r="C8" i="28"/>
  <c r="G7" i="28"/>
  <c r="F8" i="28"/>
  <c r="D8" i="28"/>
  <c r="G5" i="28"/>
  <c r="G6" i="28"/>
  <c r="G3" i="28"/>
  <c r="C7" i="24" l="1"/>
  <c r="D7" i="24"/>
  <c r="B7" i="24"/>
  <c r="E6" i="24"/>
  <c r="E5" i="24"/>
  <c r="E4" i="24"/>
  <c r="E3" i="24"/>
  <c r="C7" i="17"/>
  <c r="D7" i="17"/>
  <c r="C8" i="17"/>
  <c r="D8" i="17"/>
  <c r="B8" i="17"/>
  <c r="B7" i="17"/>
  <c r="E4" i="17"/>
  <c r="F4" i="17"/>
  <c r="E5" i="17"/>
  <c r="E8" i="17" s="1"/>
  <c r="F5" i="17"/>
  <c r="E6" i="17"/>
  <c r="F6" i="17"/>
  <c r="F3" i="17"/>
  <c r="E3" i="17"/>
  <c r="G4" i="7"/>
  <c r="F5" i="7"/>
  <c r="G5" i="7" s="1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4" i="7"/>
  <c r="E7" i="17" l="1"/>
  <c r="E7" i="24"/>
  <c r="D8" i="24" s="1"/>
  <c r="F7" i="24" l="1"/>
  <c r="E8" i="24"/>
  <c r="F4" i="24"/>
  <c r="F3" i="24"/>
  <c r="B8" i="24"/>
  <c r="F6" i="24"/>
  <c r="C8" i="24"/>
  <c r="F5" i="24"/>
  <c r="E12" i="15"/>
  <c r="E7" i="15"/>
  <c r="E9" i="15"/>
  <c r="E5" i="15"/>
  <c r="E11" i="15"/>
  <c r="E6" i="15"/>
  <c r="H7" i="15" s="1"/>
  <c r="E8" i="15"/>
  <c r="H6" i="15" s="1"/>
  <c r="E4" i="15"/>
  <c r="H5" i="15" s="1"/>
  <c r="E10" i="15"/>
  <c r="H4" i="15" s="1"/>
  <c r="E8" i="7"/>
  <c r="E9" i="7"/>
  <c r="E10" i="7"/>
  <c r="E11" i="7"/>
  <c r="E12" i="7"/>
  <c r="E13" i="7"/>
  <c r="E7" i="7"/>
  <c r="E6" i="7"/>
  <c r="E5" i="7"/>
  <c r="E4" i="7"/>
  <c r="H8" i="15" l="1"/>
</calcChain>
</file>

<file path=xl/sharedStrings.xml><?xml version="1.0" encoding="utf-8"?>
<sst xmlns="http://schemas.openxmlformats.org/spreadsheetml/2006/main" count="171" uniqueCount="67">
  <si>
    <t>Produtos eletrônicos</t>
  </si>
  <si>
    <t>Quantidade</t>
  </si>
  <si>
    <t>TV</t>
  </si>
  <si>
    <t>Celular</t>
  </si>
  <si>
    <t>Tablet</t>
  </si>
  <si>
    <t>iPad</t>
  </si>
  <si>
    <t>Valor Total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</si>
  <si>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</si>
  <si>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</si>
  <si>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</si>
  <si>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</si>
  <si>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</si>
  <si>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</si>
  <si>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</si>
  <si>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</si>
  <si>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Valor Total por produto</t>
  </si>
  <si>
    <t>Total Geral</t>
  </si>
  <si>
    <t>Resultados condicionais</t>
  </si>
  <si>
    <t>Fatura por produto</t>
  </si>
  <si>
    <t>Ótimo</t>
  </si>
  <si>
    <t>Bom</t>
  </si>
  <si>
    <t>Resultado</t>
  </si>
  <si>
    <t>Valor</t>
  </si>
  <si>
    <t>Reajuste</t>
  </si>
  <si>
    <t>Total com Reajuste</t>
  </si>
  <si>
    <t>Data Pedido</t>
  </si>
  <si>
    <t>Jan</t>
  </si>
  <si>
    <t>Fev</t>
  </si>
  <si>
    <t>Mar</t>
  </si>
  <si>
    <t>Qtd - Produtos meses</t>
  </si>
  <si>
    <t>Total</t>
  </si>
  <si>
    <t>Média</t>
  </si>
  <si>
    <t>Total %</t>
  </si>
  <si>
    <t>Resultado Estatístico</t>
  </si>
  <si>
    <t>Loja</t>
  </si>
  <si>
    <t>Centro</t>
  </si>
  <si>
    <t>Shopping</t>
  </si>
  <si>
    <t>Ação de Venda 1</t>
  </si>
  <si>
    <t>Ação de Venda 2</t>
  </si>
  <si>
    <t>Ação de Venda 3</t>
  </si>
  <si>
    <t>TV Smart</t>
  </si>
  <si>
    <t>Microondas</t>
  </si>
  <si>
    <t>Pen Drive</t>
  </si>
  <si>
    <t>Geladeira</t>
  </si>
  <si>
    <t>Mouse</t>
  </si>
  <si>
    <t>Notebook</t>
  </si>
  <si>
    <t>Produto</t>
  </si>
  <si>
    <t>Marca</t>
  </si>
  <si>
    <t>Nokia</t>
  </si>
  <si>
    <t>Samsung</t>
  </si>
  <si>
    <t>Iphone</t>
  </si>
  <si>
    <t>Modelo</t>
  </si>
  <si>
    <t>A</t>
  </si>
  <si>
    <t>B</t>
  </si>
  <si>
    <t>AB</t>
  </si>
  <si>
    <t>AC</t>
  </si>
  <si>
    <t>AAA</t>
  </si>
  <si>
    <t>AAB</t>
  </si>
  <si>
    <t>AAC</t>
  </si>
  <si>
    <t>Vendas</t>
  </si>
  <si>
    <t>Motorola</t>
  </si>
  <si>
    <t>Apple</t>
  </si>
  <si>
    <t>M123</t>
  </si>
  <si>
    <t>A456</t>
  </si>
  <si>
    <t>S147</t>
  </si>
  <si>
    <t>S258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</si>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</sst>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1" xfId="1" applyNumberFormat="1" applyFont="1" applyBorder="1"/>
    <xf numFmtId="4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44" fontId="5" fillId="0" borderId="1" xfId="2" applyFont="1" applyBorder="1" applyAlignment="1">
      <alignment horizontal="center" vertical="center" wrapText="1"/>
    </xf>
    <xf numFmtId="0" fontId="6" fillId="0" borderId="0" xfId="0" applyFont="1"/>
    <xf numFmtId="0" fontId="4" fillId="0" borderId="1" xfId="0" applyFont="1" applyBorder="1" applyAlignment="1">
      <alignment horizontal="center" vertical="center" wrapText="1"/>
    </xf>
    <xf numFmtId="44" fontId="4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5" fontId="2" fillId="0" borderId="1" xfId="2" applyNumberFormat="1" applyFont="1" applyBorder="1"/>
    <xf numFmtId="44" fontId="8" fillId="0" borderId="1" xfId="2" applyFont="1" applyBorder="1"/>
    <xf numFmtId="165" fontId="0" fillId="0" borderId="1" xfId="3" applyNumberFormat="1" applyFont="1" applyBorder="1"/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horizontal="left" vertical="center" wrapText="1"/>
    </xf>
    <xf numFmtId="164" fontId="2" fillId="0" borderId="1" xfId="1" applyNumberFormat="1" applyFont="1" applyBorder="1"/>
    <xf numFmtId="165" fontId="0" fillId="0" borderId="0" xfId="2" applyNumberFormat="1" applyFont="1"/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">
    <dxf>
      <font>
        <color rgb="FF0070C0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7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Exemplo1!$A$2</c:f>
          <c:strCache>
            <c:ptCount val="1"/>
            <c:pt idx="0">
              <c:v>Produtos eletrônicos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Exemplo1!$B$2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Exemplo1!$B$3:$B$6</c:f>
              <c:numCache>
                <c:formatCode>_-* #,##0_-;\-* #,##0_-;_-* "-"??_-;_-@_-</c:formatCode>
                <c:ptCount val="4"/>
                <c:pt idx="0">
                  <c:v>300</c:v>
                </c:pt>
                <c:pt idx="1">
                  <c:v>320</c:v>
                </c:pt>
                <c:pt idx="2">
                  <c:v>400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1-47D0-9BE5-82398C258C6F}"/>
            </c:ext>
          </c:extLst>
        </c:ser>
        <c:ser>
          <c:idx val="1"/>
          <c:order val="1"/>
          <c:tx>
            <c:strRef>
              <c:f>Exemplo1!$C$2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Exemplo1!$C$3:$C$6</c:f>
              <c:numCache>
                <c:formatCode>_-* #,##0_-;\-* #,##0_-;_-* "-"??_-;_-@_-</c:formatCode>
                <c:ptCount val="4"/>
                <c:pt idx="0">
                  <c:v>350</c:v>
                </c:pt>
                <c:pt idx="1">
                  <c:v>300</c:v>
                </c:pt>
                <c:pt idx="2">
                  <c:v>350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1-47D0-9BE5-82398C258C6F}"/>
            </c:ext>
          </c:extLst>
        </c:ser>
        <c:ser>
          <c:idx val="2"/>
          <c:order val="2"/>
          <c:tx>
            <c:strRef>
              <c:f>Exemplo1!$D$2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Exemplo1!$D$3:$D$6</c:f>
              <c:numCache>
                <c:formatCode>_-* #,##0_-;\-* #,##0_-;_-* "-"??_-;_-@_-</c:formatCode>
                <c:ptCount val="4"/>
                <c:pt idx="0">
                  <c:v>200</c:v>
                </c:pt>
                <c:pt idx="1">
                  <c:v>280</c:v>
                </c:pt>
                <c:pt idx="2">
                  <c:v>380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1-47D0-9BE5-82398C258C6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94113488"/>
        <c:axId val="1894094352"/>
      </c:barChart>
      <c:catAx>
        <c:axId val="189411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094352"/>
        <c:crosses val="autoZero"/>
        <c:auto val="1"/>
        <c:lblAlgn val="ctr"/>
        <c:lblOffset val="100"/>
        <c:noMultiLvlLbl val="0"/>
      </c:catAx>
      <c:valAx>
        <c:axId val="189409435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189411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Exemplo1!$A$2</c:f>
          <c:strCache>
            <c:ptCount val="1"/>
            <c:pt idx="0">
              <c:v>Produtos eletrônicos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Exemplo1!$A$3</c:f>
              <c:strCache>
                <c:ptCount val="1"/>
                <c:pt idx="0">
                  <c:v>Celular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Exemplo1!$B$3:$D$3</c:f>
              <c:numCache>
                <c:formatCode>_-* #,##0_-;\-* #,##0_-;_-* "-"??_-;_-@_-</c:formatCode>
                <c:ptCount val="3"/>
                <c:pt idx="0">
                  <c:v>300</c:v>
                </c:pt>
                <c:pt idx="1">
                  <c:v>350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F-48C4-BB75-A27EA2D5B22D}"/>
            </c:ext>
          </c:extLst>
        </c:ser>
        <c:ser>
          <c:idx val="1"/>
          <c:order val="1"/>
          <c:tx>
            <c:strRef>
              <c:f>Exemplo1!$A$4</c:f>
              <c:strCache>
                <c:ptCount val="1"/>
                <c:pt idx="0">
                  <c:v>iPad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Exemplo1!$B$4:$D$4</c:f>
              <c:numCache>
                <c:formatCode>_-* #,##0_-;\-* #,##0_-;_-* "-"??_-;_-@_-</c:formatCode>
                <c:ptCount val="3"/>
                <c:pt idx="0">
                  <c:v>320</c:v>
                </c:pt>
                <c:pt idx="1">
                  <c:v>300</c:v>
                </c:pt>
                <c:pt idx="2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5F-48C4-BB75-A27EA2D5B22D}"/>
            </c:ext>
          </c:extLst>
        </c:ser>
        <c:ser>
          <c:idx val="2"/>
          <c:order val="2"/>
          <c:tx>
            <c:strRef>
              <c:f>Exemplo1!$A$5</c:f>
              <c:strCache>
                <c:ptCount val="1"/>
                <c:pt idx="0">
                  <c:v>Tablet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Exemplo1!$B$5:$D$5</c:f>
              <c:numCache>
                <c:formatCode>_-* #,##0_-;\-* #,##0_-;_-* "-"??_-;_-@_-</c:formatCode>
                <c:ptCount val="3"/>
                <c:pt idx="0">
                  <c:v>400</c:v>
                </c:pt>
                <c:pt idx="1">
                  <c:v>350</c:v>
                </c:pt>
                <c:pt idx="2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5F-48C4-BB75-A27EA2D5B22D}"/>
            </c:ext>
          </c:extLst>
        </c:ser>
        <c:ser>
          <c:idx val="3"/>
          <c:order val="3"/>
          <c:tx>
            <c:strRef>
              <c:f>Exemplo1!$A$6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Exemplo1!$B$6:$D$6</c:f>
              <c:numCache>
                <c:formatCode>_-* #,##0_-;\-* #,##0_-;_-* "-"??_-;_-@_-</c:formatCode>
                <c:ptCount val="3"/>
                <c:pt idx="0">
                  <c:v>290</c:v>
                </c:pt>
                <c:pt idx="1">
                  <c:v>400</c:v>
                </c:pt>
                <c:pt idx="2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5F-48C4-BB75-A27EA2D5B22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94081456"/>
        <c:axId val="1894083952"/>
      </c:barChart>
      <c:catAx>
        <c:axId val="189408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083952"/>
        <c:crosses val="autoZero"/>
        <c:auto val="1"/>
        <c:lblAlgn val="ctr"/>
        <c:lblOffset val="100"/>
        <c:noMultiLvlLbl val="0"/>
      </c:catAx>
      <c:valAx>
        <c:axId val="189408395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strRef>
              <c:f>Exemplo1!$A$1</c:f>
              <c:strCache>
                <c:ptCount val="1"/>
                <c:pt idx="0">
                  <c:v>Qtd - Produtos meses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189408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Exemplo1!$A$1</c:f>
          <c:strCache>
            <c:ptCount val="1"/>
            <c:pt idx="0">
              <c:v>Qtd - Produtos meses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Exemplo1!$B$2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Exemplo1!$B$3:$B$6</c:f>
              <c:numCache>
                <c:formatCode>_-* #,##0_-;\-* #,##0_-;_-* "-"??_-;_-@_-</c:formatCode>
                <c:ptCount val="4"/>
                <c:pt idx="0">
                  <c:v>300</c:v>
                </c:pt>
                <c:pt idx="1">
                  <c:v>320</c:v>
                </c:pt>
                <c:pt idx="2">
                  <c:v>400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1-487C-BF72-EE9D989660C6}"/>
            </c:ext>
          </c:extLst>
        </c:ser>
        <c:ser>
          <c:idx val="1"/>
          <c:order val="1"/>
          <c:tx>
            <c:strRef>
              <c:f>Exemplo1!$C$2</c:f>
              <c:strCache>
                <c:ptCount val="1"/>
                <c:pt idx="0">
                  <c:v>Fev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Exemplo1!$C$3:$C$6</c:f>
              <c:numCache>
                <c:formatCode>_-* #,##0_-;\-* #,##0_-;_-* "-"??_-;_-@_-</c:formatCode>
                <c:ptCount val="4"/>
                <c:pt idx="0">
                  <c:v>350</c:v>
                </c:pt>
                <c:pt idx="1">
                  <c:v>300</c:v>
                </c:pt>
                <c:pt idx="2">
                  <c:v>350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11-487C-BF72-EE9D989660C6}"/>
            </c:ext>
          </c:extLst>
        </c:ser>
        <c:ser>
          <c:idx val="2"/>
          <c:order val="2"/>
          <c:tx>
            <c:strRef>
              <c:f>Exemplo1!$D$2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Exemplo1!$A$3:$A$6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Exemplo1!$D$3:$D$6</c:f>
              <c:numCache>
                <c:formatCode>_-* #,##0_-;\-* #,##0_-;_-* "-"??_-;_-@_-</c:formatCode>
                <c:ptCount val="4"/>
                <c:pt idx="0">
                  <c:v>200</c:v>
                </c:pt>
                <c:pt idx="1">
                  <c:v>280</c:v>
                </c:pt>
                <c:pt idx="2">
                  <c:v>380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11-487C-BF72-EE9D989660C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94143024"/>
        <c:axId val="1894146768"/>
      </c:barChart>
      <c:catAx>
        <c:axId val="189414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146768"/>
        <c:crosses val="autoZero"/>
        <c:auto val="1"/>
        <c:lblAlgn val="ctr"/>
        <c:lblOffset val="100"/>
        <c:noMultiLvlLbl val="0"/>
      </c:catAx>
      <c:valAx>
        <c:axId val="18941467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14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Exemplo2!$A$1</c:f>
          <c:strCache>
            <c:ptCount val="1"/>
            <c:pt idx="0">
              <c:v>Resultado Estatístico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Exemplo2!$A$4</c:f>
              <c:strCache>
                <c:ptCount val="1"/>
                <c:pt idx="0">
                  <c:v>Celular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Exemplo2!$B$4:$D$4</c:f>
              <c:numCache>
                <c:formatCode>0.0%</c:formatCode>
                <c:ptCount val="3"/>
                <c:pt idx="0">
                  <c:v>0.22500000000000001</c:v>
                </c:pt>
                <c:pt idx="1">
                  <c:v>0.14899999999999999</c:v>
                </c:pt>
                <c:pt idx="2">
                  <c:v>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9-425E-A6C0-5438A625410C}"/>
            </c:ext>
          </c:extLst>
        </c:ser>
        <c:ser>
          <c:idx val="1"/>
          <c:order val="1"/>
          <c:tx>
            <c:strRef>
              <c:f>Exemplo2!$A$5</c:f>
              <c:strCache>
                <c:ptCount val="1"/>
                <c:pt idx="0">
                  <c:v>iPad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Exemplo2!$B$5:$D$5</c:f>
              <c:numCache>
                <c:formatCode>0.0%</c:formatCode>
                <c:ptCount val="3"/>
                <c:pt idx="0">
                  <c:v>0.16500000000000001</c:v>
                </c:pt>
                <c:pt idx="1">
                  <c:v>0.35499999999999998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9-425E-A6C0-5438A625410C}"/>
            </c:ext>
          </c:extLst>
        </c:ser>
        <c:ser>
          <c:idx val="2"/>
          <c:order val="2"/>
          <c:tx>
            <c:strRef>
              <c:f>Exemplo2!$A$6</c:f>
              <c:strCache>
                <c:ptCount val="1"/>
                <c:pt idx="0">
                  <c:v>Tablet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Exemplo2!$B$6:$D$6</c:f>
              <c:numCache>
                <c:formatCode>0.0%</c:formatCode>
                <c:ptCount val="3"/>
                <c:pt idx="0">
                  <c:v>0.23</c:v>
                </c:pt>
                <c:pt idx="1">
                  <c:v>0.28699999999999998</c:v>
                </c:pt>
                <c:pt idx="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9-425E-A6C0-5438A625410C}"/>
            </c:ext>
          </c:extLst>
        </c:ser>
        <c:ser>
          <c:idx val="3"/>
          <c:order val="3"/>
          <c:tx>
            <c:strRef>
              <c:f>Exemplo2!$A$7</c:f>
              <c:strCache>
                <c:ptCount val="1"/>
                <c:pt idx="0">
                  <c:v>TV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Exemplo2!$B$7:$D$7</c:f>
              <c:numCache>
                <c:formatCode>0.0%</c:formatCode>
                <c:ptCount val="3"/>
                <c:pt idx="0">
                  <c:v>0.38</c:v>
                </c:pt>
                <c:pt idx="1">
                  <c:v>0.20899999999999999</c:v>
                </c:pt>
                <c:pt idx="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89-425E-A6C0-5438A625410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976819616"/>
        <c:axId val="1976817120"/>
      </c:lineChart>
      <c:catAx>
        <c:axId val="19768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6817120"/>
        <c:crosses val="autoZero"/>
        <c:auto val="1"/>
        <c:lblAlgn val="ctr"/>
        <c:lblOffset val="100"/>
        <c:noMultiLvlLbl val="0"/>
      </c:catAx>
      <c:valAx>
        <c:axId val="1976817120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68196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Exemplo2!$A$1</c:f>
          <c:strCache>
            <c:ptCount val="1"/>
            <c:pt idx="0">
              <c:v>Resultado Estatístico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Exemplo2!$A$4</c:f>
              <c:strCache>
                <c:ptCount val="1"/>
                <c:pt idx="0">
                  <c:v>Celular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Exemplo2!$B$4:$D$4</c:f>
              <c:numCache>
                <c:formatCode>0.0%</c:formatCode>
                <c:ptCount val="3"/>
                <c:pt idx="0">
                  <c:v>0.22500000000000001</c:v>
                </c:pt>
                <c:pt idx="1">
                  <c:v>0.14899999999999999</c:v>
                </c:pt>
                <c:pt idx="2">
                  <c:v>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A-4404-9265-FAA309375ED2}"/>
            </c:ext>
          </c:extLst>
        </c:ser>
        <c:ser>
          <c:idx val="1"/>
          <c:order val="1"/>
          <c:tx>
            <c:strRef>
              <c:f>Exemplo2!$A$5</c:f>
              <c:strCache>
                <c:ptCount val="1"/>
                <c:pt idx="0">
                  <c:v>iPad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Exemplo2!$B$5:$D$5</c:f>
              <c:numCache>
                <c:formatCode>0.0%</c:formatCode>
                <c:ptCount val="3"/>
                <c:pt idx="0">
                  <c:v>0.16500000000000001</c:v>
                </c:pt>
                <c:pt idx="1">
                  <c:v>0.35499999999999998</c:v>
                </c:pt>
                <c:pt idx="2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6A-4404-9265-FAA309375ED2}"/>
            </c:ext>
          </c:extLst>
        </c:ser>
        <c:ser>
          <c:idx val="2"/>
          <c:order val="2"/>
          <c:tx>
            <c:strRef>
              <c:f>Exemplo2!$A$6</c:f>
              <c:strCache>
                <c:ptCount val="1"/>
                <c:pt idx="0">
                  <c:v>Tablet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Exemplo2!$B$6:$D$6</c:f>
              <c:numCache>
                <c:formatCode>0.0%</c:formatCode>
                <c:ptCount val="3"/>
                <c:pt idx="0">
                  <c:v>0.23</c:v>
                </c:pt>
                <c:pt idx="1">
                  <c:v>0.28699999999999998</c:v>
                </c:pt>
                <c:pt idx="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6A-4404-9265-FAA309375ED2}"/>
            </c:ext>
          </c:extLst>
        </c:ser>
        <c:ser>
          <c:idx val="3"/>
          <c:order val="3"/>
          <c:tx>
            <c:strRef>
              <c:f>Exemplo2!$A$7</c:f>
              <c:strCache>
                <c:ptCount val="1"/>
                <c:pt idx="0">
                  <c:v>TV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Exemplo2!$B$3:$D$3</c:f>
              <c:strCache>
                <c:ptCount val="3"/>
                <c:pt idx="0">
                  <c:v> Ação de Venda 1 </c:v>
                </c:pt>
                <c:pt idx="1">
                  <c:v> Ação de Venda 2 </c:v>
                </c:pt>
                <c:pt idx="2">
                  <c:v> Ação de Venda 3 </c:v>
                </c:pt>
              </c:strCache>
            </c:strRef>
          </c:cat>
          <c:val>
            <c:numRef>
              <c:f>Exemplo2!$B$7:$D$7</c:f>
              <c:numCache>
                <c:formatCode>0.0%</c:formatCode>
                <c:ptCount val="3"/>
                <c:pt idx="0">
                  <c:v>0.38</c:v>
                </c:pt>
                <c:pt idx="1">
                  <c:v>0.20899999999999999</c:v>
                </c:pt>
                <c:pt idx="2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6A-4404-9265-FAA309375E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94097680"/>
        <c:axId val="1894098096"/>
      </c:lineChart>
      <c:catAx>
        <c:axId val="189409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098096"/>
        <c:crosses val="autoZero"/>
        <c:auto val="1"/>
        <c:lblAlgn val="ctr"/>
        <c:lblOffset val="100"/>
        <c:noMultiLvlLbl val="0"/>
      </c:catAx>
      <c:valAx>
        <c:axId val="189409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409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5549647875304924E-2"/>
          <c:y val="2.54260192930765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Exemplo3!$D$3</c:f>
              <c:strCache>
                <c:ptCount val="1"/>
                <c:pt idx="0">
                  <c:v> Quantidade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AC-4C3A-BA91-8756198BA4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AC-4C3A-BA91-8756198BA4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AC-4C3A-BA91-8756198BA4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AC-4C3A-BA91-8756198BA4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AC-4C3A-BA91-8756198BA4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DAC-4C3A-BA91-8756198BA4D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DAC-4C3A-BA91-8756198BA4D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DAC-4C3A-BA91-8756198BA4D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DAC-4C3A-BA91-8756198BA4D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DAC-4C3A-BA91-8756198BA4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1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Exemplo3!$B$4:$B$13</c:f>
              <c:strCache>
                <c:ptCount val="10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  <c:pt idx="4">
                  <c:v>TV Smart</c:v>
                </c:pt>
                <c:pt idx="5">
                  <c:v>Microondas</c:v>
                </c:pt>
                <c:pt idx="6">
                  <c:v>Pen Drive</c:v>
                </c:pt>
                <c:pt idx="7">
                  <c:v>Geladeira</c:v>
                </c:pt>
                <c:pt idx="8">
                  <c:v>Mouse</c:v>
                </c:pt>
                <c:pt idx="9">
                  <c:v>Notebook</c:v>
                </c:pt>
              </c:strCache>
            </c:strRef>
          </c:cat>
          <c:val>
            <c:numRef>
              <c:f>Exemplo3!$D$4:$D$13</c:f>
              <c:numCache>
                <c:formatCode>_-* #,##0_-;\-* #,##0_-;_-* "-"??_-;_-@_-</c:formatCode>
                <c:ptCount val="10"/>
                <c:pt idx="0">
                  <c:v>9</c:v>
                </c:pt>
                <c:pt idx="1">
                  <c:v>15</c:v>
                </c:pt>
                <c:pt idx="2">
                  <c:v>101</c:v>
                </c:pt>
                <c:pt idx="3">
                  <c:v>31</c:v>
                </c:pt>
                <c:pt idx="4">
                  <c:v>8</c:v>
                </c:pt>
                <c:pt idx="5">
                  <c:v>120</c:v>
                </c:pt>
                <c:pt idx="6">
                  <c:v>12</c:v>
                </c:pt>
                <c:pt idx="7">
                  <c:v>55</c:v>
                </c:pt>
                <c:pt idx="8">
                  <c:v>200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C3A-BA91-8756198BA4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Exemplo4!$A$1</c:f>
          <c:strCache>
            <c:ptCount val="1"/>
            <c:pt idx="0">
              <c:v>Qtd - Produtos meses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Exemplo4!$F$2</c:f>
              <c:strCache>
                <c:ptCount val="1"/>
                <c:pt idx="0">
                  <c:v>Total %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Exemplo4!$A$3:$A$6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Exemplo4!$F$3:$F$6</c:f>
              <c:numCache>
                <c:formatCode>0.0%</c:formatCode>
                <c:ptCount val="4"/>
                <c:pt idx="0">
                  <c:v>0.21573604060913706</c:v>
                </c:pt>
                <c:pt idx="1">
                  <c:v>0.22842639593908629</c:v>
                </c:pt>
                <c:pt idx="2">
                  <c:v>0.28680203045685282</c:v>
                </c:pt>
                <c:pt idx="3">
                  <c:v>0.26903553299492383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20-40F4-A1E5-32ECD3C95D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76809632"/>
        <c:axId val="1976823360"/>
      </c:areaChart>
      <c:barChart>
        <c:barDir val="col"/>
        <c:grouping val="stacked"/>
        <c:varyColors val="0"/>
        <c:ser>
          <c:idx val="0"/>
          <c:order val="0"/>
          <c:tx>
            <c:strRef>
              <c:f>Exemplo4!$E$2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Exemplo4!$A$3:$A$6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Exemplo4!$E$3:$E$6</c:f>
              <c:numCache>
                <c:formatCode>_-* #,##0_-;\-* #,##0_-;_-* "-"??_-;_-@_-</c:formatCode>
                <c:ptCount val="4"/>
                <c:pt idx="0">
                  <c:v>850</c:v>
                </c:pt>
                <c:pt idx="1">
                  <c:v>900</c:v>
                </c:pt>
                <c:pt idx="2">
                  <c:v>1130</c:v>
                </c:pt>
                <c:pt idx="3">
                  <c:v>1060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0-40F4-A1E5-32ECD3C95D0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96662608"/>
        <c:axId val="1896663024"/>
      </c:barChart>
      <c:catAx>
        <c:axId val="189666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6663024"/>
        <c:auto val="1"/>
        <c:lblAlgn val="ctr"/>
        <c:lblOffset val="100"/>
        <c:noMultiLvlLbl val="0"/>
      </c:catAx>
      <c:valAx>
        <c:axId val="18966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6662608"/>
        <c:crossBetween val="between"/>
      </c:valAx>
      <c:valAx>
        <c:axId val="197682336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6809632"/>
        <c:crosses val="max"/>
        <c:crossBetween val="between"/>
      </c:valAx>
      <c:catAx>
        <c:axId val="197680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768233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Exemplo5!$H$3</c:f>
          <c:strCache>
            <c:ptCount val="1"/>
            <c:pt idx="0">
              <c:v> Valor Total por produto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Exemplo5!$G$4:$G$7</c:f>
              <c:strCache>
                <c:ptCount val="4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</c:strCache>
            </c:strRef>
          </c:cat>
          <c:val>
            <c:numRef>
              <c:f>Exemplo5!$H$4:$H$7</c:f>
              <c:numCache>
                <c:formatCode>_("R$"* #,##0.00_);_("R$"* \(#,##0.00\);_("R$"* "-"??_);_(@_)</c:formatCode>
                <c:ptCount val="4"/>
                <c:pt idx="0">
                  <c:v>52800</c:v>
                </c:pt>
                <c:pt idx="1">
                  <c:v>158400</c:v>
                </c:pt>
                <c:pt idx="2">
                  <c:v>56000</c:v>
                </c:pt>
                <c:pt idx="3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F-4855-B6D9-DA0ACA75A4E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  <cx:data id="1">
      <cx:strDim type="cat">
        <cx:f>_xlchart.v1.0</cx:f>
      </cx:strDim>
      <cx:numDim type="size">
        <cx:f>_xlchart.v1.4</cx:f>
      </cx:numDim>
    </cx:data>
    <cx:data id="2">
      <cx:strDim type="cat">
        <cx:f>_xlchart.v1.0</cx:f>
      </cx:strDim>
      <cx:numDim type="size">
        <cx:f>_xlchart.v1.6</cx:f>
      </cx:numDim>
    </cx:data>
  </cx:chartData>
  <cx:chart>
    <cx:title pos="t" align="ctr" overlay="0"/>
    <cx:plotArea>
      <cx:plotAreaRegion>
        <cx:series layoutId="treemap" uniqueId="{AD95A545-F521-409E-A42F-DA4D8B7A774F}" formatIdx="0">
          <cx:tx>
            <cx:txData>
              <cx:f>_xlchart.v1.1</cx:f>
              <cx:v> Preço Unitário </cx:v>
            </cx:txData>
          </cx:tx>
          <cx:dataLabels pos="inEnd">
            <cx:visibility seriesName="1" categoryName="1" value="1"/>
            <cx:separator>
</cx:separator>
          </cx:dataLabels>
          <cx:dataId val="0"/>
          <cx:layoutPr>
            <cx:parentLabelLayout val="overlapping"/>
          </cx:layoutPr>
        </cx:series>
        <cx:series layoutId="treemap" hidden="1" uniqueId="{61C28613-587F-4BB8-B46E-ADDE16B4C5F9}" formatIdx="1">
          <cx:tx>
            <cx:txData>
              <cx:f>_xlchart.v1.3</cx:f>
              <cx:v> Quantidade </cx:v>
            </cx:txData>
          </cx:tx>
          <cx:dataLabels pos="inEnd">
            <cx:visibility seriesName="0" categoryName="1" value="0"/>
          </cx:dataLabels>
          <cx:dataId val="1"/>
          <cx:layoutPr>
            <cx:parentLabelLayout val="overlapping"/>
          </cx:layoutPr>
        </cx:series>
        <cx:series layoutId="treemap" hidden="1" uniqueId="{B680F616-41CA-482B-9F77-4B8E0D5055A7}" formatIdx="2">
          <cx:tx>
            <cx:txData>
              <cx:f>_xlchart.v1.5</cx:f>
              <cx:v>Valor Total</cx:v>
            </cx:txData>
          </cx:tx>
          <cx:dataLabels pos="inEnd">
            <cx:visibility seriesName="0" categoryName="1" value="0"/>
          </cx:dataLabels>
          <cx:dataId val="2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size">
        <cx:f>_xlchart.v1.12</cx:f>
      </cx:numDim>
    </cx:data>
  </cx:chartData>
  <cx:chart>
    <cx:title pos="t" align="ctr" overlay="0"/>
    <cx:plotArea>
      <cx:plotAreaRegion>
        <cx:series layoutId="treemap" uniqueId="{D3123EDD-51F0-4228-B8E2-FA37B78CFC01}">
          <cx:tx>
            <cx:txData>
              <cx:f>_xlchart.v1.11</cx:f>
              <cx:v>Valor Total</cx:v>
            </cx:txData>
          </cx:tx>
          <cx:dataLabels pos="inEnd">
            <cx:visibility seriesName="1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size">
        <cx:f>_xlchart.v1.9</cx:f>
      </cx:numDim>
    </cx:data>
  </cx:chartData>
  <cx:chart>
    <cx:title pos="t" align="ctr" overlay="0"/>
    <cx:plotArea>
      <cx:plotAreaRegion>
        <cx:series layoutId="sunburst" uniqueId="{DFA96D9B-8D49-469A-A3DE-DF376DDCF09C}">
          <cx:tx>
            <cx:txData>
              <cx:f>_xlchart.v1.8</cx:f>
              <cx:v>Valor Total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size">
        <cx:f>_xlchart.v1.15</cx:f>
      </cx:numDim>
    </cx:data>
  </cx:chartData>
  <cx:chart>
    <cx:title pos="t" align="ctr" overlay="0">
      <cx:tx>
        <cx:txData>
          <cx:v>Aparelhos</cx:v>
        </cx:txData>
      </cx:tx>
      <cx:txPr>
        <a:bodyPr vertOverflow="overflow" horzOverflow="overflow" wrap="square" lIns="0" tIns="0" rIns="0" bIns="0"/>
        <a:lstStyle/>
        <a:p>
          <a:pPr algn="ctr" rtl="0">
            <a:defRPr sz="3200" b="0" i="0">
              <a:solidFill>
                <a:srgbClr val="595959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pt-BR" sz="3200"/>
            <a:t>Aparelhos</a:t>
          </a:r>
        </a:p>
      </cx:txPr>
    </cx:title>
    <cx:plotArea>
      <cx:plotAreaRegion>
        <cx:series layoutId="sunburst" uniqueId="{3DE2EE29-97D7-487B-A59F-F59DC1B9244F}">
          <cx:tx>
            <cx:txData>
              <cx:f>_xlchart.v1.14</cx:f>
              <cx:v>Vendas</cx:v>
            </cx:txData>
          </cx:tx>
          <cx:dataLabels pos="ctr">
            <cx:txPr>
              <a:bodyPr vertOverflow="overflow" horzOverflow="overflow" wrap="square" lIns="0" tIns="0" rIns="0" bIns="0"/>
              <a:lstStyle/>
              <a:p>
                <a:pPr algn="ctr" rtl="0">
                  <a:defRPr sz="1800" b="0" i="0">
                    <a:solidFill>
                      <a:srgbClr val="FFFFFF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 sz="1800"/>
              </a:p>
            </cx:txPr>
            <cx:visibility seriesName="0" categoryName="1" value="0"/>
          </cx:dataLabels>
          <cx:dataId val="0"/>
        </cx:series>
      </cx:plotAreaRegion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size">
        <cx:f>_xlchart.v1.18</cx:f>
      </cx:numDim>
    </cx:data>
  </cx:chartData>
  <cx:chart>
    <cx:title pos="t" align="ctr" overlay="0"/>
    <cx:plotArea>
      <cx:plotAreaRegion>
        <cx:series layoutId="sunburst" uniqueId="{7F8623A0-D614-43E5-9D16-745982C091BF}">
          <cx:tx>
            <cx:txData>
              <cx:f>_xlchart.v1.17</cx:f>
              <cx:v>Total</cx:v>
            </cx:txData>
          </cx:tx>
          <cx:dataLabels pos="ctr">
            <cx:visibility seriesName="0" categoryName="1" value="0"/>
            <cx:separator>
</cx:separator>
          </cx:dataLabels>
          <cx:dataId val="0"/>
        </cx:series>
      </cx:plotAreaRegion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_xlchart.v1.21</cx:f>
      </cx:numDim>
    </cx:data>
  </cx:chartData>
  <cx:chart>
    <cx:title pos="t" align="ctr" overlay="0">
      <cx:tx>
        <cx:txData>
          <cx:v>Título do Gráfico</cx:v>
        </cx:txData>
      </cx:tx>
    </cx:title>
    <cx:plotArea>
      <cx:plotAreaRegion>
        <cx:series layoutId="waterfall" uniqueId="{D2C30938-F9E5-409E-9571-48599FF242C6}">
          <cx:tx>
            <cx:txData>
              <cx:f>_xlchart.v1.20</cx:f>
              <cx:v>Total</cx:v>
            </cx:txData>
          </cx:tx>
          <cx:dataLabels pos="outEnd"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5CB0CC8-46DD-40E9-B2D0-C497216905E1}">
  <sheetPr/>
  <sheetViews>
    <sheetView workbookViewId="0"/>
  </sheetViews>
  <pageMargins left="0.511811024" right="0.511811024" top="0.78740157499999996" bottom="0.78740157499999996" header="0.31496062000000002" footer="0.31496062000000002"/>
  <pageSetup paperSize="9" orientation="landscape" horizontalDpi="1200" verticalDpi="1200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FCC027-A8F3-41FC-A646-EA4D03F198BF}">
  <sheetPr/>
  <sheetViews>
    <sheetView zoomScale="10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8.xml"/><Relationship Id="rId4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microsoft.com/office/2014/relationships/chartEx" Target="../charts/chartEx4.xml"/></Relationships>
</file>

<file path=xl/drawings/_rels/drawing8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9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54427</xdr:colOff>
      <xdr:row>8</xdr:row>
      <xdr:rowOff>40821</xdr:rowOff>
    </xdr:from>
    <xdr:to>
      <xdr:col>6</xdr:col>
      <xdr:colOff>551088</xdr:colOff>
      <xdr:row>22</xdr:row>
      <xdr:rowOff>66261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B8602F2-F0CE-44FC-9DD4-C346AE134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74839</xdr:colOff>
      <xdr:row>8</xdr:row>
      <xdr:rowOff>20409</xdr:rowOff>
    </xdr:from>
    <xdr:to>
      <xdr:col>13</xdr:col>
      <xdr:colOff>537481</xdr:colOff>
      <xdr:row>22</xdr:row>
      <xdr:rowOff>83116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F1E8959-7EC1-4E15-81A1-B265CA027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82339</xdr:colOff>
      <xdr:row>22</xdr:row>
      <xdr:rowOff>133008</xdr:rowOff>
    </xdr:from>
    <xdr:to>
      <xdr:col>6</xdr:col>
      <xdr:colOff>529599</xdr:colOff>
      <xdr:row>37</xdr:row>
      <xdr:rowOff>124558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6068B13-B2ED-4EC4-9C9F-E37732403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100011</xdr:colOff>
      <xdr:row>7</xdr:row>
      <xdr:rowOff>119062</xdr:rowOff>
    </xdr:from>
    <xdr:to>
      <xdr:col>14</xdr:col>
      <xdr:colOff>285749</xdr:colOff>
      <xdr:row>30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AA282A-02B5-4385-B465-91A653E24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119061</xdr:colOff>
      <xdr:row>31</xdr:row>
      <xdr:rowOff>100012</xdr:rowOff>
    </xdr:from>
    <xdr:to>
      <xdr:col>14</xdr:col>
      <xdr:colOff>304799</xdr:colOff>
      <xdr:row>49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A71A8FF-3FDB-45AE-B141-392BE42F7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8489" cy="599386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4B31A4-57AD-4A0B-8C55-4501A2D79D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200024</xdr:colOff>
      <xdr:row>1</xdr:row>
      <xdr:rowOff>52386</xdr:rowOff>
    </xdr:from>
    <xdr:to>
      <xdr:col>17</xdr:col>
      <xdr:colOff>457199</xdr:colOff>
      <xdr:row>27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E34167C-D6B4-4551-B745-FE45A8999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209245</xdr:colOff>
      <xdr:row>0</xdr:row>
      <xdr:rowOff>85106</xdr:rowOff>
    </xdr:from>
    <xdr:to>
      <xdr:col>16</xdr:col>
      <xdr:colOff>401694</xdr:colOff>
      <xdr:row>14</xdr:row>
      <xdr:rowOff>182583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7B20A10-BB4B-4AA3-9C28-39A3F4815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</xdr:colOff>
      <xdr:row>12</xdr:row>
      <xdr:rowOff>138111</xdr:rowOff>
    </xdr:from>
    <xdr:to>
      <xdr:col>6</xdr:col>
      <xdr:colOff>1038225</xdr:colOff>
      <xdr:row>35</xdr:row>
      <xdr:rowOff>100852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1D275244-7161-46E8-A68C-9600620A1D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387" y="2737876"/>
              <a:ext cx="5613867" cy="43442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6</xdr:col>
      <xdr:colOff>1160009</xdr:colOff>
      <xdr:row>12</xdr:row>
      <xdr:rowOff>173490</xdr:rowOff>
    </xdr:from>
    <xdr:to>
      <xdr:col>16</xdr:col>
      <xdr:colOff>381001</xdr:colOff>
      <xdr:row>37</xdr:row>
      <xdr:rowOff>69274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76D50839-B4FB-4E33-B8D7-9980F9A85D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00045" y="2772454"/>
              <a:ext cx="6555242" cy="4658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754796</xdr:colOff>
      <xdr:row>39</xdr:row>
      <xdr:rowOff>41621</xdr:rowOff>
    </xdr:from>
    <xdr:to>
      <xdr:col>12</xdr:col>
      <xdr:colOff>552290</xdr:colOff>
      <xdr:row>67</xdr:row>
      <xdr:rowOff>41621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1FCD46AC-E644-47C8-BDFD-1C9F070425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20260" y="7784085"/>
              <a:ext cx="8057030" cy="533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56078" cy="601211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B00C6EF8-AD99-4066-9A14-38DC7CB38E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tângulo 1">
          <a:extLst xmlns:a="http://schemas.openxmlformats.org/drawingml/2006/main">
            <a:ext uri="{FF2B5EF4-FFF2-40B4-BE49-F238E27FC236}">
              <a16:creationId xmlns:a16="http://schemas.microsoft.com/office/drawing/2014/main" id="{CF0B4E0B-5584-45C7-9D6A-160C1E4ADF15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9656078" cy="601211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pt-BR" sz="1100"/>
            <a:t>Este gráfico não está disponível na sua versão de Excel.
Editar esta forma ou salvar esta pasta de trabalho em um formato de arquivo diferente quebrará o gráfico permanentemente.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107674</xdr:colOff>
      <xdr:row>1</xdr:row>
      <xdr:rowOff>99390</xdr:rowOff>
    </xdr:from>
    <xdr:to>
      <xdr:col>14</xdr:col>
      <xdr:colOff>281609</xdr:colOff>
      <xdr:row>24</xdr:row>
      <xdr:rowOff>107673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E2A1FF29-3060-46ED-AED1-C7D7818680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7065" y="397564"/>
              <a:ext cx="4870174" cy="45802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4761</xdr:colOff>
      <xdr:row>1</xdr:row>
      <xdr:rowOff>0</xdr:rowOff>
    </xdr:from>
    <xdr:to>
      <xdr:col>16</xdr:col>
      <xdr:colOff>9524</xdr:colOff>
      <xdr:row>19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6412996C-DC21-4320-9AE6-F714FE8B0A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57711" y="295275"/>
              <a:ext cx="5338763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3"/>
  <dimension ref="A1:F8"/>
  <sheetViews>
    <sheetView topLeftCell="A19" zoomScale="130" zoomScaleNormal="130" workbookViewId="0">
      <selection activeCell="I27" sqref="I27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5" t="s">
        <v>29</v>
      </c>
      <c r="B1" s="25"/>
      <c r="C1" s="25"/>
      <c r="D1" s="25"/>
      <c r="E1" s="25"/>
      <c r="F1" s="25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31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6">
        <f>AVERAGE(B3:D3)</f>
        <v>283.33333333333331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6">
        <f t="shared" ref="F4:F6" si="1">AVERAGE(B4:D4)</f>
        <v>300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6">
        <f t="shared" si="1"/>
        <v>376.66666666666669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6">
        <f t="shared" si="1"/>
        <v>353.33333333333331</v>
      </c>
    </row>
    <row r="7" spans="1:6" x14ac:dyDescent="0.25">
      <c r="A7" s="22" t="s">
        <v>30</v>
      </c>
      <c r="B7" s="6">
        <f>SUM(B3:B6)</f>
        <v>1310</v>
      </c>
      <c r="C7" s="6">
        <f t="shared" ref="C7:E7" si="2">SUM(C3:C6)</f>
        <v>1400</v>
      </c>
      <c r="D7" s="6">
        <f t="shared" si="2"/>
        <v>1230</v>
      </c>
      <c r="E7" s="6">
        <f t="shared" si="2"/>
        <v>3940</v>
      </c>
      <c r="F7" s="6">
        <f>AVERAGE(B7:E7)</f>
        <v>1970</v>
      </c>
    </row>
    <row r="8" spans="1:6" x14ac:dyDescent="0.25">
      <c r="A8" s="22" t="s">
        <v>31</v>
      </c>
      <c r="B8" s="6">
        <f>AVERAGE(B3:B6)</f>
        <v>327.5</v>
      </c>
      <c r="C8" s="6">
        <f t="shared" ref="C8:E8" si="3">AVERAGE(C3:C6)</f>
        <v>350</v>
      </c>
      <c r="D8" s="6">
        <f t="shared" si="3"/>
        <v>307.5</v>
      </c>
      <c r="E8" s="6">
        <f t="shared" si="3"/>
        <v>985</v>
      </c>
      <c r="F8" s="6">
        <f>AVERAGE(F3:F7)</f>
        <v>656.66666666666663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/>
  <dimension ref="A1:D8"/>
  <sheetViews>
    <sheetView topLeftCell="A25" zoomScaleNormal="100" workbookViewId="0">
      <selection activeCell="I51" sqref="I51"/>
    </sheetView>
  </sheetViews>
  <sheetFormatPr defaultRowHeight="15" x14ac:dyDescent="0.25"/>
  <cols>
    <col min="1" max="1" width="14.28515625" bestFit="1" customWidth="1"/>
    <col min="2" max="2" width="12.140625" style="1" bestFit="1" customWidth="1"/>
    <col min="3" max="3" width="13.28515625" style="1" customWidth="1"/>
    <col min="4" max="4" width="11.5703125" bestFit="1" customWidth="1"/>
  </cols>
  <sheetData>
    <row r="1" spans="1:4" ht="23.25" x14ac:dyDescent="0.35">
      <c r="A1" s="26" t="s">
        <v>33</v>
      </c>
      <c r="B1" s="26"/>
      <c r="C1" s="26"/>
      <c r="D1" s="26"/>
    </row>
    <row r="2" spans="1:4" x14ac:dyDescent="0.25">
      <c r="A2" s="27"/>
      <c r="B2" s="27"/>
      <c r="C2" s="27"/>
      <c r="D2" s="27"/>
    </row>
    <row r="3" spans="1:4" ht="37.5" x14ac:dyDescent="0.25">
      <c r="A3" s="11" t="s">
        <v>0</v>
      </c>
      <c r="B3" s="12" t="s">
        <v>37</v>
      </c>
      <c r="C3" s="12" t="s">
        <v>38</v>
      </c>
      <c r="D3" s="12" t="s">
        <v>39</v>
      </c>
    </row>
    <row r="4" spans="1:4" x14ac:dyDescent="0.25">
      <c r="A4" s="4" t="s">
        <v>3</v>
      </c>
      <c r="B4" s="20">
        <v>0.22500000000000001</v>
      </c>
      <c r="C4" s="20">
        <v>0.14899999999999999</v>
      </c>
      <c r="D4" s="20">
        <v>0.36</v>
      </c>
    </row>
    <row r="5" spans="1:4" x14ac:dyDescent="0.25">
      <c r="A5" s="4" t="s">
        <v>5</v>
      </c>
      <c r="B5" s="20">
        <v>0.16500000000000001</v>
      </c>
      <c r="C5" s="20">
        <v>0.35499999999999998</v>
      </c>
      <c r="D5" s="20">
        <v>0.24</v>
      </c>
    </row>
    <row r="6" spans="1:4" x14ac:dyDescent="0.25">
      <c r="A6" s="4" t="s">
        <v>4</v>
      </c>
      <c r="B6" s="20">
        <v>0.23</v>
      </c>
      <c r="C6" s="20">
        <v>0.28699999999999998</v>
      </c>
      <c r="D6" s="20">
        <v>0.2</v>
      </c>
    </row>
    <row r="7" spans="1:4" x14ac:dyDescent="0.25">
      <c r="A7" s="4" t="s">
        <v>2</v>
      </c>
      <c r="B7" s="20">
        <v>0.38</v>
      </c>
      <c r="C7" s="20">
        <v>0.20899999999999999</v>
      </c>
      <c r="D7" s="20">
        <v>0.2</v>
      </c>
    </row>
    <row r="8" spans="1:4" x14ac:dyDescent="0.25">
      <c r="B8" s="24"/>
      <c r="C8" s="24"/>
      <c r="D8" s="24"/>
    </row>
  </sheetData>
  <mergeCells count="2">
    <mergeCell ref="A1:D1"/>
    <mergeCell ref="A2:D2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G19"/>
  <sheetViews>
    <sheetView zoomScale="85" zoomScaleNormal="85" workbookViewId="0">
      <selection activeCell="D23" sqref="D23"/>
    </sheetView>
  </sheetViews>
  <sheetFormatPr defaultRowHeight="15" x14ac:dyDescent="0.25"/>
  <cols>
    <col min="1" max="1" width="15.140625" bestFit="1" customWidth="1"/>
    <col min="2" max="2" width="19.7109375" bestFit="1" customWidth="1"/>
    <col min="3" max="3" width="15.28515625" style="1" bestFit="1" customWidth="1"/>
    <col min="4" max="4" width="15.28515625" style="1" customWidth="1"/>
    <col min="5" max="5" width="15.28515625" customWidth="1"/>
    <col min="6" max="6" width="14.28515625" style="1" bestFit="1" customWidth="1"/>
    <col min="7" max="7" width="14.28515625" bestFit="1" customWidth="1"/>
  </cols>
  <sheetData>
    <row r="1" spans="1:7" ht="26.25" x14ac:dyDescent="0.4">
      <c r="A1" s="28" t="s">
        <v>17</v>
      </c>
      <c r="B1" s="28"/>
      <c r="C1" s="28"/>
      <c r="D1" s="28"/>
      <c r="E1" s="28"/>
      <c r="F1" s="28"/>
      <c r="G1" s="28"/>
    </row>
    <row r="2" spans="1:7" x14ac:dyDescent="0.25">
      <c r="A2" s="27"/>
      <c r="B2" s="27"/>
      <c r="C2" s="27"/>
      <c r="D2" s="27"/>
      <c r="E2" s="27"/>
      <c r="F2" s="27"/>
      <c r="G2" s="27"/>
    </row>
    <row r="3" spans="1:7" s="13" customFormat="1" ht="37.5" x14ac:dyDescent="0.3">
      <c r="A3" s="11" t="s">
        <v>25</v>
      </c>
      <c r="B3" s="11" t="s">
        <v>0</v>
      </c>
      <c r="C3" s="12" t="s">
        <v>14</v>
      </c>
      <c r="D3" s="12" t="s">
        <v>1</v>
      </c>
      <c r="E3" s="11" t="s">
        <v>6</v>
      </c>
      <c r="F3" s="12" t="s">
        <v>23</v>
      </c>
      <c r="G3" s="11" t="s">
        <v>24</v>
      </c>
    </row>
    <row r="4" spans="1:7" x14ac:dyDescent="0.25">
      <c r="A4" s="21">
        <v>42052</v>
      </c>
      <c r="B4" s="4" t="s">
        <v>2</v>
      </c>
      <c r="C4" s="5">
        <v>1200</v>
      </c>
      <c r="D4" s="6">
        <v>9</v>
      </c>
      <c r="E4" s="5">
        <f t="shared" ref="E4:E13" si="0">C4*D4</f>
        <v>10800</v>
      </c>
      <c r="F4" s="5">
        <f t="shared" ref="F4:F13" si="1">IF(C4&gt;=$D$16,C4+C4*$D$17,C4+C4*$D$18)</f>
        <v>1224</v>
      </c>
      <c r="G4" s="5">
        <f>F4*D4</f>
        <v>11016</v>
      </c>
    </row>
    <row r="5" spans="1:7" x14ac:dyDescent="0.25">
      <c r="A5" s="21">
        <v>42053</v>
      </c>
      <c r="B5" s="4" t="s">
        <v>3</v>
      </c>
      <c r="C5" s="5">
        <v>2200</v>
      </c>
      <c r="D5" s="6">
        <v>15</v>
      </c>
      <c r="E5" s="5">
        <f t="shared" si="0"/>
        <v>33000</v>
      </c>
      <c r="F5" s="5">
        <f t="shared" si="1"/>
        <v>2244</v>
      </c>
      <c r="G5" s="5">
        <f t="shared" ref="G5:G13" si="2">F5*D5</f>
        <v>33660</v>
      </c>
    </row>
    <row r="6" spans="1:7" x14ac:dyDescent="0.25">
      <c r="A6" s="21">
        <v>42056</v>
      </c>
      <c r="B6" s="4" t="s">
        <v>4</v>
      </c>
      <c r="C6" s="5">
        <v>1400</v>
      </c>
      <c r="D6" s="6">
        <v>101</v>
      </c>
      <c r="E6" s="5">
        <f t="shared" si="0"/>
        <v>141400</v>
      </c>
      <c r="F6" s="5">
        <f t="shared" si="1"/>
        <v>1428</v>
      </c>
      <c r="G6" s="5">
        <f t="shared" si="2"/>
        <v>144228</v>
      </c>
    </row>
    <row r="7" spans="1:7" x14ac:dyDescent="0.25">
      <c r="A7" s="21">
        <v>42058</v>
      </c>
      <c r="B7" s="4" t="s">
        <v>5</v>
      </c>
      <c r="C7" s="5">
        <v>900</v>
      </c>
      <c r="D7" s="6">
        <v>31</v>
      </c>
      <c r="E7" s="5">
        <f t="shared" si="0"/>
        <v>27900</v>
      </c>
      <c r="F7" s="5">
        <f t="shared" si="1"/>
        <v>907.2</v>
      </c>
      <c r="G7" s="5">
        <f t="shared" si="2"/>
        <v>28123.200000000001</v>
      </c>
    </row>
    <row r="8" spans="1:7" x14ac:dyDescent="0.25">
      <c r="A8" s="21">
        <v>42062</v>
      </c>
      <c r="B8" s="4" t="s">
        <v>40</v>
      </c>
      <c r="C8" s="5">
        <v>1200</v>
      </c>
      <c r="D8" s="6">
        <v>8</v>
      </c>
      <c r="E8" s="5">
        <f t="shared" si="0"/>
        <v>9600</v>
      </c>
      <c r="F8" s="5">
        <f t="shared" si="1"/>
        <v>1224</v>
      </c>
      <c r="G8" s="5">
        <f t="shared" si="2"/>
        <v>9792</v>
      </c>
    </row>
    <row r="9" spans="1:7" x14ac:dyDescent="0.25">
      <c r="A9" s="21">
        <v>42064</v>
      </c>
      <c r="B9" s="4" t="s">
        <v>41</v>
      </c>
      <c r="C9" s="5">
        <v>2200</v>
      </c>
      <c r="D9" s="6">
        <v>120</v>
      </c>
      <c r="E9" s="5">
        <f t="shared" si="0"/>
        <v>264000</v>
      </c>
      <c r="F9" s="5">
        <f t="shared" si="1"/>
        <v>2244</v>
      </c>
      <c r="G9" s="5">
        <f t="shared" si="2"/>
        <v>269280</v>
      </c>
    </row>
    <row r="10" spans="1:7" x14ac:dyDescent="0.25">
      <c r="A10" s="21">
        <v>42069</v>
      </c>
      <c r="B10" s="4" t="s">
        <v>42</v>
      </c>
      <c r="C10" s="5">
        <v>1400</v>
      </c>
      <c r="D10" s="6">
        <v>12</v>
      </c>
      <c r="E10" s="5">
        <f t="shared" si="0"/>
        <v>16800</v>
      </c>
      <c r="F10" s="5">
        <f t="shared" si="1"/>
        <v>1428</v>
      </c>
      <c r="G10" s="5">
        <f t="shared" si="2"/>
        <v>17136</v>
      </c>
    </row>
    <row r="11" spans="1:7" x14ac:dyDescent="0.25">
      <c r="A11" s="21">
        <v>42072</v>
      </c>
      <c r="B11" s="4" t="s">
        <v>43</v>
      </c>
      <c r="C11" s="5">
        <v>900</v>
      </c>
      <c r="D11" s="6">
        <v>55</v>
      </c>
      <c r="E11" s="5">
        <f t="shared" si="0"/>
        <v>49500</v>
      </c>
      <c r="F11" s="5">
        <f t="shared" si="1"/>
        <v>907.2</v>
      </c>
      <c r="G11" s="5">
        <f t="shared" si="2"/>
        <v>49896</v>
      </c>
    </row>
    <row r="12" spans="1:7" x14ac:dyDescent="0.25">
      <c r="A12" s="21">
        <v>42074</v>
      </c>
      <c r="B12" s="4" t="s">
        <v>44</v>
      </c>
      <c r="C12" s="5">
        <v>1200</v>
      </c>
      <c r="D12" s="6">
        <v>200</v>
      </c>
      <c r="E12" s="5">
        <f t="shared" si="0"/>
        <v>240000</v>
      </c>
      <c r="F12" s="5">
        <f t="shared" si="1"/>
        <v>1224</v>
      </c>
      <c r="G12" s="5">
        <f t="shared" si="2"/>
        <v>244800</v>
      </c>
    </row>
    <row r="13" spans="1:7" x14ac:dyDescent="0.25">
      <c r="A13" s="21">
        <v>42075</v>
      </c>
      <c r="B13" s="4" t="s">
        <v>45</v>
      </c>
      <c r="C13" s="5">
        <v>2200</v>
      </c>
      <c r="D13" s="6">
        <v>30</v>
      </c>
      <c r="E13" s="5">
        <f t="shared" si="0"/>
        <v>66000</v>
      </c>
      <c r="F13" s="5">
        <f t="shared" si="1"/>
        <v>2244</v>
      </c>
      <c r="G13" s="5">
        <f t="shared" si="2"/>
        <v>67320</v>
      </c>
    </row>
    <row r="15" spans="1:7" hidden="1" x14ac:dyDescent="0.25">
      <c r="B15" s="2" t="s">
        <v>1</v>
      </c>
      <c r="C15" s="3" t="s">
        <v>21</v>
      </c>
      <c r="D15" s="3" t="s">
        <v>22</v>
      </c>
      <c r="E15" s="2" t="s">
        <v>21</v>
      </c>
    </row>
    <row r="16" spans="1:7" ht="18" hidden="1" x14ac:dyDescent="0.25">
      <c r="B16" s="2">
        <v>100</v>
      </c>
      <c r="C16" s="3" t="s">
        <v>19</v>
      </c>
      <c r="D16" s="3">
        <v>1000</v>
      </c>
      <c r="E16" s="19" t="s">
        <v>7</v>
      </c>
    </row>
    <row r="17" spans="2:5" ht="18" hidden="1" x14ac:dyDescent="0.25">
      <c r="B17" s="2">
        <v>50</v>
      </c>
      <c r="C17" s="3" t="s">
        <v>20</v>
      </c>
      <c r="D17" s="17">
        <v>0.02</v>
      </c>
      <c r="E17" s="19" t="s">
        <v>8</v>
      </c>
    </row>
    <row r="18" spans="2:5" ht="18" hidden="1" x14ac:dyDescent="0.25">
      <c r="B18" s="2"/>
      <c r="C18" s="3"/>
      <c r="D18" s="18">
        <v>8.0000000000000002E-3</v>
      </c>
      <c r="E18" s="19" t="s">
        <v>9</v>
      </c>
    </row>
    <row r="19" spans="2:5" hidden="1" x14ac:dyDescent="0.25"/>
  </sheetData>
  <mergeCells count="2">
    <mergeCell ref="A1:G1"/>
    <mergeCell ref="A2:G2"/>
  </mergeCells>
  <conditionalFormatting sqref="F4:F13">
    <cfRule type="cellIs" dxfId="1" priority="1" operator="equal">
      <formula>"I"</formula>
    </cfRule>
    <cfRule type="cellIs" dxfId="0" priority="5" operator="equal">
      <formula>$B$9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4"/>
  <dimension ref="A1:F8"/>
  <sheetViews>
    <sheetView zoomScaleNormal="100" workbookViewId="0">
      <selection activeCell="J30" sqref="J30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5" t="s">
        <v>29</v>
      </c>
      <c r="B1" s="25"/>
      <c r="C1" s="25"/>
      <c r="D1" s="25"/>
      <c r="E1" s="25"/>
      <c r="F1" s="25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32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20">
        <f>E3/$E$7</f>
        <v>0.21573604060913706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20">
        <f t="shared" ref="F4:F7" si="1">E4/$E$7</f>
        <v>0.22842639593908629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20">
        <f t="shared" si="1"/>
        <v>0.28680203045685282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20">
        <f t="shared" si="1"/>
        <v>0.26903553299492383</v>
      </c>
    </row>
    <row r="7" spans="1:6" x14ac:dyDescent="0.25">
      <c r="A7" s="22" t="s">
        <v>30</v>
      </c>
      <c r="B7" s="6">
        <f>SUM(B3:B6)</f>
        <v>1310</v>
      </c>
      <c r="C7" s="6">
        <f>SUM(C3:C6)</f>
        <v>1400</v>
      </c>
      <c r="D7" s="6">
        <f t="shared" ref="D7:E7" si="2">SUM(D3:D6)</f>
        <v>1230</v>
      </c>
      <c r="E7" s="23">
        <f t="shared" si="2"/>
        <v>3940</v>
      </c>
      <c r="F7" s="20">
        <f t="shared" si="1"/>
        <v>1</v>
      </c>
    </row>
    <row r="8" spans="1:6" x14ac:dyDescent="0.25">
      <c r="A8" s="22" t="s">
        <v>32</v>
      </c>
      <c r="B8" s="20">
        <f>B7/$E$7</f>
        <v>0.33248730964467005</v>
      </c>
      <c r="C8" s="20">
        <f t="shared" ref="C8:E8" si="3">C7/$E$7</f>
        <v>0.35532994923857869</v>
      </c>
      <c r="D8" s="20">
        <f t="shared" si="3"/>
        <v>0.31218274111675126</v>
      </c>
      <c r="E8" s="20">
        <f t="shared" si="3"/>
        <v>1</v>
      </c>
      <c r="F8" s="6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X15"/>
  <sheetViews>
    <sheetView topLeftCell="I1" zoomScale="55" zoomScaleNormal="55" workbookViewId="0">
      <selection activeCell="AD7" sqref="AD7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8.28515625" customWidth="1"/>
    <col min="8" max="8" width="18.140625" style="1" customWidth="1"/>
    <col min="24" max="24" width="13.7109375" bestFit="1" customWidth="1"/>
  </cols>
  <sheetData>
    <row r="1" spans="1:24" s="9" customFormat="1" ht="23.25" x14ac:dyDescent="0.25">
      <c r="A1" s="29" t="s">
        <v>18</v>
      </c>
      <c r="B1" s="29"/>
      <c r="C1" s="29"/>
      <c r="D1" s="29"/>
      <c r="E1" s="29"/>
      <c r="G1" s="29" t="s">
        <v>21</v>
      </c>
      <c r="H1" s="29"/>
    </row>
    <row r="2" spans="1:24" x14ac:dyDescent="0.25">
      <c r="A2" s="27"/>
      <c r="B2" s="27"/>
      <c r="C2" s="27"/>
      <c r="D2" s="27"/>
      <c r="E2" s="27"/>
      <c r="G2" s="27"/>
      <c r="H2" s="27"/>
    </row>
    <row r="3" spans="1:24" s="16" customFormat="1" ht="31.5" x14ac:dyDescent="0.25">
      <c r="A3" s="14" t="s">
        <v>0</v>
      </c>
      <c r="B3" s="14" t="s">
        <v>10</v>
      </c>
      <c r="C3" s="15" t="s">
        <v>14</v>
      </c>
      <c r="D3" s="15" t="s">
        <v>1</v>
      </c>
      <c r="E3" s="14" t="s">
        <v>6</v>
      </c>
      <c r="G3" s="14" t="s">
        <v>0</v>
      </c>
      <c r="H3" s="15" t="s">
        <v>15</v>
      </c>
      <c r="U3" s="16" t="s">
        <v>46</v>
      </c>
      <c r="V3" s="16" t="s">
        <v>47</v>
      </c>
      <c r="W3" s="16" t="s">
        <v>51</v>
      </c>
      <c r="X3" s="16" t="s">
        <v>59</v>
      </c>
    </row>
    <row r="4" spans="1:24" x14ac:dyDescent="0.25">
      <c r="A4" s="4" t="s">
        <v>3</v>
      </c>
      <c r="B4" s="4" t="s">
        <v>12</v>
      </c>
      <c r="C4" s="5">
        <v>2200</v>
      </c>
      <c r="D4" s="6">
        <v>32</v>
      </c>
      <c r="E4" s="5">
        <f>C4*D4</f>
        <v>70400</v>
      </c>
      <c r="G4" s="4" t="s">
        <v>2</v>
      </c>
      <c r="H4" s="5">
        <f>SUMIF($A$4:$A$12,G4,$E$4:$E$12)</f>
        <v>52800</v>
      </c>
      <c r="U4" t="s">
        <v>3</v>
      </c>
      <c r="V4" t="s">
        <v>48</v>
      </c>
      <c r="W4" t="s">
        <v>52</v>
      </c>
      <c r="X4" s="7">
        <v>25800</v>
      </c>
    </row>
    <row r="5" spans="1:24" x14ac:dyDescent="0.25">
      <c r="A5" s="4" t="s">
        <v>3</v>
      </c>
      <c r="B5" s="4" t="s">
        <v>12</v>
      </c>
      <c r="C5" s="5">
        <v>2200</v>
      </c>
      <c r="D5" s="6">
        <v>40</v>
      </c>
      <c r="E5" s="5">
        <f>C5*D5</f>
        <v>88000</v>
      </c>
      <c r="G5" s="4" t="s">
        <v>3</v>
      </c>
      <c r="H5" s="5">
        <f t="shared" ref="H5:H7" si="0">SUMIF($A$4:$A$12,G5,$E$4:$E$12)</f>
        <v>158400</v>
      </c>
      <c r="U5" t="s">
        <v>3</v>
      </c>
      <c r="V5" t="s">
        <v>48</v>
      </c>
      <c r="W5" t="s">
        <v>53</v>
      </c>
      <c r="X5" s="7">
        <v>14980</v>
      </c>
    </row>
    <row r="6" spans="1:24" x14ac:dyDescent="0.25">
      <c r="A6" s="4" t="s">
        <v>5</v>
      </c>
      <c r="B6" s="4" t="s">
        <v>12</v>
      </c>
      <c r="C6" s="5">
        <v>900</v>
      </c>
      <c r="D6" s="6">
        <v>40</v>
      </c>
      <c r="E6" s="5">
        <f>C6*D6</f>
        <v>36000</v>
      </c>
      <c r="G6" s="4" t="s">
        <v>4</v>
      </c>
      <c r="H6" s="5">
        <f t="shared" si="0"/>
        <v>56000</v>
      </c>
      <c r="U6" t="s">
        <v>3</v>
      </c>
      <c r="V6" t="s">
        <v>49</v>
      </c>
      <c r="W6" t="s">
        <v>52</v>
      </c>
      <c r="X6" s="7">
        <v>29300</v>
      </c>
    </row>
    <row r="7" spans="1:24" x14ac:dyDescent="0.25">
      <c r="A7" s="4" t="s">
        <v>5</v>
      </c>
      <c r="B7" s="4" t="s">
        <v>12</v>
      </c>
      <c r="C7" s="5">
        <v>900</v>
      </c>
      <c r="D7" s="6">
        <v>55</v>
      </c>
      <c r="E7" s="5">
        <f>C7*D7</f>
        <v>49500</v>
      </c>
      <c r="G7" s="4" t="s">
        <v>5</v>
      </c>
      <c r="H7" s="5">
        <f t="shared" si="0"/>
        <v>85500</v>
      </c>
      <c r="U7" t="s">
        <v>3</v>
      </c>
      <c r="V7" t="s">
        <v>49</v>
      </c>
      <c r="W7" t="s">
        <v>54</v>
      </c>
      <c r="X7" s="7">
        <v>55800</v>
      </c>
    </row>
    <row r="8" spans="1:24" x14ac:dyDescent="0.25">
      <c r="A8" s="4" t="s">
        <v>4</v>
      </c>
      <c r="B8" s="4" t="s">
        <v>13</v>
      </c>
      <c r="C8" s="5">
        <v>1400</v>
      </c>
      <c r="D8" s="6">
        <v>28</v>
      </c>
      <c r="E8" s="5">
        <f>C8*D8</f>
        <v>39200</v>
      </c>
      <c r="G8" s="10" t="s">
        <v>16</v>
      </c>
      <c r="H8" s="3">
        <f>SUM(H4:H7)</f>
        <v>352700</v>
      </c>
      <c r="U8" t="s">
        <v>3</v>
      </c>
      <c r="V8" t="s">
        <v>49</v>
      </c>
      <c r="W8" t="s">
        <v>55</v>
      </c>
      <c r="X8" s="7">
        <v>61300</v>
      </c>
    </row>
    <row r="9" spans="1:24" x14ac:dyDescent="0.25">
      <c r="A9" s="4" t="s">
        <v>4</v>
      </c>
      <c r="B9" s="4" t="s">
        <v>13</v>
      </c>
      <c r="C9" s="5">
        <v>1400</v>
      </c>
      <c r="D9" s="6">
        <v>12</v>
      </c>
      <c r="E9" s="5">
        <f>C9*D9</f>
        <v>16800</v>
      </c>
      <c r="U9" t="s">
        <v>3</v>
      </c>
      <c r="V9" t="s">
        <v>50</v>
      </c>
      <c r="W9" t="s">
        <v>56</v>
      </c>
      <c r="X9" s="7">
        <v>58900</v>
      </c>
    </row>
    <row r="10" spans="1:24" x14ac:dyDescent="0.25">
      <c r="A10" s="4" t="s">
        <v>2</v>
      </c>
      <c r="B10" s="4" t="s">
        <v>11</v>
      </c>
      <c r="C10" s="5">
        <v>1200</v>
      </c>
      <c r="D10" s="6">
        <v>10</v>
      </c>
      <c r="E10" s="5">
        <f>C10*D10</f>
        <v>12000</v>
      </c>
      <c r="H10"/>
      <c r="U10" t="s">
        <v>3</v>
      </c>
      <c r="V10" t="s">
        <v>50</v>
      </c>
      <c r="W10" t="s">
        <v>57</v>
      </c>
      <c r="X10" s="7">
        <v>61200</v>
      </c>
    </row>
    <row r="11" spans="1:24" x14ac:dyDescent="0.25">
      <c r="A11" s="4" t="s">
        <v>2</v>
      </c>
      <c r="B11" s="4" t="s">
        <v>11</v>
      </c>
      <c r="C11" s="5">
        <v>1200</v>
      </c>
      <c r="D11" s="6">
        <v>8</v>
      </c>
      <c r="E11" s="5">
        <f>C11*D11</f>
        <v>9600</v>
      </c>
      <c r="H11"/>
      <c r="U11" t="s">
        <v>3</v>
      </c>
      <c r="V11" t="s">
        <v>50</v>
      </c>
      <c r="W11" t="s">
        <v>58</v>
      </c>
      <c r="X11" s="7">
        <v>12000</v>
      </c>
    </row>
    <row r="12" spans="1:24" x14ac:dyDescent="0.25">
      <c r="A12" s="4" t="s">
        <v>2</v>
      </c>
      <c r="B12" s="4" t="s">
        <v>11</v>
      </c>
      <c r="C12" s="5">
        <v>1200</v>
      </c>
      <c r="D12" s="6">
        <v>26</v>
      </c>
      <c r="E12" s="5">
        <f>C12*D12</f>
        <v>31200</v>
      </c>
      <c r="U12" t="s">
        <v>4</v>
      </c>
      <c r="V12" t="s">
        <v>60</v>
      </c>
      <c r="W12" t="s">
        <v>62</v>
      </c>
      <c r="X12" s="7">
        <v>25000</v>
      </c>
    </row>
    <row r="13" spans="1:24" x14ac:dyDescent="0.25">
      <c r="E13" s="7"/>
      <c r="U13" t="s">
        <v>4</v>
      </c>
      <c r="V13" t="s">
        <v>61</v>
      </c>
      <c r="W13" t="s">
        <v>63</v>
      </c>
      <c r="X13" s="7">
        <v>18000</v>
      </c>
    </row>
    <row r="14" spans="1:24" x14ac:dyDescent="0.25">
      <c r="U14" t="s">
        <v>4</v>
      </c>
      <c r="V14" t="s">
        <v>49</v>
      </c>
      <c r="W14" t="s">
        <v>64</v>
      </c>
      <c r="X14" s="7">
        <v>16000</v>
      </c>
    </row>
    <row r="15" spans="1:24" x14ac:dyDescent="0.25">
      <c r="U15" t="s">
        <v>4</v>
      </c>
      <c r="V15" t="s">
        <v>49</v>
      </c>
      <c r="W15" t="s">
        <v>65</v>
      </c>
      <c r="X15" s="7">
        <v>32000</v>
      </c>
    </row>
  </sheetData>
  <autoFilter ref="A3:E12" xr:uid="{00000000-0001-0000-0400-000000000000}">
    <sortState xmlns:xlrd2="http://schemas.microsoft.com/office/spreadsheetml/2017/richdata2" ref="A4:E12">
      <sortCondition ref="A3:A12"/>
    </sortState>
  </autoFilter>
  <mergeCells count="4">
    <mergeCell ref="A2:E2"/>
    <mergeCell ref="A1:E1"/>
    <mergeCell ref="G1:H1"/>
    <mergeCell ref="G2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/>
  <dimension ref="A1:G8"/>
  <sheetViews>
    <sheetView zoomScaleNormal="100" workbookViewId="0">
      <selection activeCell="E10" sqref="E10"/>
    </sheetView>
  </sheetViews>
  <sheetFormatPr defaultColWidth="10" defaultRowHeight="15" x14ac:dyDescent="0.25"/>
  <cols>
    <col min="1" max="1" width="11" bestFit="1" customWidth="1"/>
    <col min="2" max="2" width="11" customWidth="1"/>
    <col min="3" max="3" width="7.140625" bestFit="1" customWidth="1"/>
    <col min="4" max="5" width="7.140625" style="1" bestFit="1" customWidth="1"/>
    <col min="6" max="7" width="7.42578125" bestFit="1" customWidth="1"/>
  </cols>
  <sheetData>
    <row r="1" spans="1:7" ht="23.25" x14ac:dyDescent="0.25">
      <c r="A1" s="25" t="s">
        <v>29</v>
      </c>
      <c r="B1" s="25"/>
      <c r="C1" s="25"/>
      <c r="D1" s="25"/>
      <c r="E1" s="25"/>
      <c r="F1" s="25"/>
      <c r="G1" s="25"/>
    </row>
    <row r="2" spans="1:7" s="9" customFormat="1" ht="30" x14ac:dyDescent="0.25">
      <c r="A2" s="8" t="s">
        <v>0</v>
      </c>
      <c r="B2" s="8" t="s">
        <v>34</v>
      </c>
      <c r="C2" s="8" t="s">
        <v>26</v>
      </c>
      <c r="D2" s="8" t="s">
        <v>27</v>
      </c>
      <c r="E2" s="8" t="s">
        <v>28</v>
      </c>
      <c r="F2" s="8" t="s">
        <v>30</v>
      </c>
      <c r="G2" s="8" t="s">
        <v>32</v>
      </c>
    </row>
    <row r="3" spans="1:7" x14ac:dyDescent="0.25">
      <c r="A3" s="4" t="s">
        <v>3</v>
      </c>
      <c r="B3" s="4" t="s">
        <v>35</v>
      </c>
      <c r="C3" s="6">
        <v>300</v>
      </c>
      <c r="D3" s="6">
        <v>350</v>
      </c>
      <c r="E3" s="6">
        <v>200</v>
      </c>
      <c r="F3" s="6">
        <f>SUM(C3:E3)</f>
        <v>850</v>
      </c>
      <c r="G3" s="20">
        <f>F3/$F$7</f>
        <v>0.21573604060913706</v>
      </c>
    </row>
    <row r="4" spans="1:7" x14ac:dyDescent="0.25">
      <c r="A4" s="4" t="s">
        <v>5</v>
      </c>
      <c r="B4" s="4" t="s">
        <v>36</v>
      </c>
      <c r="C4" s="6">
        <v>320</v>
      </c>
      <c r="D4" s="6">
        <v>300</v>
      </c>
      <c r="E4" s="6">
        <v>280</v>
      </c>
      <c r="F4" s="6">
        <f t="shared" ref="F4:F6" si="0">SUM(C4:E4)</f>
        <v>900</v>
      </c>
      <c r="G4" s="20">
        <f t="shared" ref="G4:G7" si="1">F4/$F$7</f>
        <v>0.22842639593908629</v>
      </c>
    </row>
    <row r="5" spans="1:7" x14ac:dyDescent="0.25">
      <c r="A5" s="4" t="s">
        <v>4</v>
      </c>
      <c r="B5" s="4" t="s">
        <v>35</v>
      </c>
      <c r="C5" s="6">
        <v>400</v>
      </c>
      <c r="D5" s="6">
        <v>350</v>
      </c>
      <c r="E5" s="6">
        <v>380</v>
      </c>
      <c r="F5" s="6">
        <f t="shared" si="0"/>
        <v>1130</v>
      </c>
      <c r="G5" s="20">
        <f t="shared" si="1"/>
        <v>0.28680203045685282</v>
      </c>
    </row>
    <row r="6" spans="1:7" x14ac:dyDescent="0.25">
      <c r="A6" s="4" t="s">
        <v>2</v>
      </c>
      <c r="B6" s="4" t="s">
        <v>36</v>
      </c>
      <c r="C6" s="6">
        <v>290</v>
      </c>
      <c r="D6" s="6">
        <v>400</v>
      </c>
      <c r="E6" s="6">
        <v>370</v>
      </c>
      <c r="F6" s="6">
        <f t="shared" si="0"/>
        <v>1060</v>
      </c>
      <c r="G6" s="20">
        <f t="shared" si="1"/>
        <v>0.26903553299492383</v>
      </c>
    </row>
    <row r="7" spans="1:7" x14ac:dyDescent="0.25">
      <c r="A7" s="22" t="s">
        <v>30</v>
      </c>
      <c r="B7" s="22"/>
      <c r="C7" s="6">
        <f>SUM(C3:C6)</f>
        <v>1310</v>
      </c>
      <c r="D7" s="6">
        <f>SUM(D3:D6)</f>
        <v>1400</v>
      </c>
      <c r="E7" s="6">
        <f t="shared" ref="E7:F7" si="2">SUM(E3:E6)</f>
        <v>1230</v>
      </c>
      <c r="F7" s="23">
        <f t="shared" si="2"/>
        <v>3940</v>
      </c>
      <c r="G7" s="20">
        <f t="shared" si="1"/>
        <v>1</v>
      </c>
    </row>
    <row r="8" spans="1:7" x14ac:dyDescent="0.25">
      <c r="A8" s="22" t="s">
        <v>32</v>
      </c>
      <c r="B8" s="22"/>
      <c r="C8" s="20">
        <f>C7/$F$7</f>
        <v>0.33248730964467005</v>
      </c>
      <c r="D8" s="20">
        <f t="shared" ref="D8:F8" si="3">D7/$F$7</f>
        <v>0.35532994923857869</v>
      </c>
      <c r="E8" s="20">
        <f t="shared" si="3"/>
        <v>0.31218274111675126</v>
      </c>
      <c r="F8" s="20">
        <f t="shared" si="3"/>
        <v>1</v>
      </c>
      <c r="G8" s="6"/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BEC9D-45D6-4CEF-B694-B998E18E387A}">
  <sheetPr codeName="Plan19"/>
  <dimension ref="A1:G23"/>
  <sheetViews>
    <sheetView tabSelected="1" zoomScaleNormal="100" workbookViewId="0">
      <selection activeCell="F23" sqref="F23"/>
    </sheetView>
  </sheetViews>
  <sheetFormatPr defaultColWidth="10" defaultRowHeight="15" x14ac:dyDescent="0.25"/>
  <cols>
    <col min="1" max="1" width="11" bestFit="1" customWidth="1"/>
    <col min="2" max="2" width="11" customWidth="1"/>
    <col min="3" max="3" width="7.140625" bestFit="1" customWidth="1"/>
    <col min="4" max="5" width="7.140625" style="1" bestFit="1" customWidth="1"/>
    <col min="6" max="7" width="7.42578125" bestFit="1" customWidth="1"/>
  </cols>
  <sheetData>
    <row r="1" spans="1:7" ht="23.25" x14ac:dyDescent="0.25">
      <c r="A1" s="25" t="s">
        <v>29</v>
      </c>
      <c r="B1" s="25"/>
      <c r="C1" s="25"/>
      <c r="D1" s="25"/>
      <c r="E1" s="25"/>
      <c r="F1" s="25"/>
      <c r="G1" s="25"/>
    </row>
    <row r="2" spans="1:7" s="9" customFormat="1" ht="30" x14ac:dyDescent="0.25">
      <c r="A2" s="8" t="s">
        <v>0</v>
      </c>
      <c r="B2" s="8" t="s">
        <v>34</v>
      </c>
      <c r="C2" s="8" t="s">
        <v>26</v>
      </c>
      <c r="D2" s="8" t="s">
        <v>27</v>
      </c>
      <c r="E2" s="8" t="s">
        <v>28</v>
      </c>
      <c r="F2" s="8" t="s">
        <v>30</v>
      </c>
      <c r="G2" s="8" t="s">
        <v>32</v>
      </c>
    </row>
    <row r="3" spans="1:7" x14ac:dyDescent="0.25">
      <c r="A3" s="4" t="s">
        <v>3</v>
      </c>
      <c r="B3" s="4" t="s">
        <v>35</v>
      </c>
      <c r="C3" s="6">
        <v>300</v>
      </c>
      <c r="D3" s="6">
        <v>350</v>
      </c>
      <c r="E3" s="6">
        <v>200</v>
      </c>
      <c r="F3" s="6">
        <f>SUM(C3:E3)</f>
        <v>850</v>
      </c>
      <c r="G3" s="20">
        <f>F3/$F$7</f>
        <v>0.21573604060913706</v>
      </c>
    </row>
    <row r="4" spans="1:7" x14ac:dyDescent="0.25">
      <c r="A4" s="4" t="s">
        <v>5</v>
      </c>
      <c r="B4" s="4" t="s">
        <v>36</v>
      </c>
      <c r="C4" s="6">
        <v>320</v>
      </c>
      <c r="D4" s="6">
        <v>300</v>
      </c>
      <c r="E4" s="6">
        <v>280</v>
      </c>
      <c r="F4" s="6">
        <f t="shared" ref="F4:F6" si="0">SUM(C4:E4)</f>
        <v>900</v>
      </c>
      <c r="G4" s="20">
        <f t="shared" ref="G4:G7" si="1">F4/$F$7</f>
        <v>0.22842639593908629</v>
      </c>
    </row>
    <row r="5" spans="1:7" x14ac:dyDescent="0.25">
      <c r="A5" s="4" t="s">
        <v>4</v>
      </c>
      <c r="B5" s="4" t="s">
        <v>35</v>
      </c>
      <c r="C5" s="6">
        <v>400</v>
      </c>
      <c r="D5" s="6">
        <v>350</v>
      </c>
      <c r="E5" s="6">
        <v>380</v>
      </c>
      <c r="F5" s="6">
        <f t="shared" si="0"/>
        <v>1130</v>
      </c>
      <c r="G5" s="20">
        <f t="shared" si="1"/>
        <v>0.28680203045685282</v>
      </c>
    </row>
    <row r="6" spans="1:7" x14ac:dyDescent="0.25">
      <c r="A6" s="4" t="s">
        <v>2</v>
      </c>
      <c r="B6" s="4" t="s">
        <v>36</v>
      </c>
      <c r="C6" s="6">
        <v>290</v>
      </c>
      <c r="D6" s="6">
        <v>400</v>
      </c>
      <c r="E6" s="6">
        <v>370</v>
      </c>
      <c r="F6" s="6">
        <f t="shared" si="0"/>
        <v>1060</v>
      </c>
      <c r="G6" s="20">
        <f t="shared" si="1"/>
        <v>0.26903553299492383</v>
      </c>
    </row>
    <row r="7" spans="1:7" x14ac:dyDescent="0.25">
      <c r="A7" s="22" t="s">
        <v>30</v>
      </c>
      <c r="B7" s="22"/>
      <c r="C7" s="6">
        <f>SUM(C3:C6)</f>
        <v>1310</v>
      </c>
      <c r="D7" s="6">
        <f>SUM(D3:D6)</f>
        <v>1400</v>
      </c>
      <c r="E7" s="6">
        <f t="shared" ref="E7:F7" si="2">SUM(E3:E6)</f>
        <v>1230</v>
      </c>
      <c r="F7" s="23">
        <f t="shared" si="2"/>
        <v>3940</v>
      </c>
      <c r="G7" s="20">
        <f t="shared" si="1"/>
        <v>1</v>
      </c>
    </row>
    <row r="8" spans="1:7" x14ac:dyDescent="0.25">
      <c r="A8" s="22" t="s">
        <v>32</v>
      </c>
      <c r="B8" s="22"/>
      <c r="C8" s="20">
        <f>C7/$F$7</f>
        <v>0.33248730964467005</v>
      </c>
      <c r="D8" s="20">
        <f t="shared" ref="D8:F8" si="3">D7/$F$7</f>
        <v>0.35532994923857869</v>
      </c>
      <c r="E8" s="20">
        <f t="shared" si="3"/>
        <v>0.31218274111675126</v>
      </c>
      <c r="F8" s="20">
        <f t="shared" si="3"/>
        <v>1</v>
      </c>
      <c r="G8" s="6"/>
    </row>
    <row r="23" spans="6:6" x14ac:dyDescent="0.25">
      <c r="F23" t="s">
        <v>66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DBB03D-8188-4716-9FE8-15304F65D30E}">
  <ds:schemaRefs>
    <ds:schemaRef ds:uri="http://schemas.microsoft.com/office/2006/metadata/properties"/>
    <ds:schemaRef ds:uri="http://schemas.microsoft.com/office/infopath/2007/PartnerControls"/>
    <ds:schemaRef ds:uri="945e57da-c50d-42e8-ab32-7d1106145708"/>
  </ds:schemaRefs>
</ds:datastoreItem>
</file>

<file path=customXml/itemProps2.xml><?xml version="1.0" encoding="utf-8"?>
<ds:datastoreItem xmlns:ds="http://schemas.openxmlformats.org/officeDocument/2006/customXml" ds:itemID="{EB4C889F-A2D2-4AFE-AFE8-032CDDDFC7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0FB8D4-B43A-47A7-8C72-63A93B1358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5e57da-c50d-42e8-ab32-7d1106145708"/>
    <ds:schemaRef ds:uri="7be03918-918d-43f2-ab06-80e39ef12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Gráficos</vt:lpstr>
      </vt:variant>
      <vt:variant>
        <vt:i4>2</vt:i4>
      </vt:variant>
    </vt:vector>
  </HeadingPairs>
  <TitlesOfParts>
    <vt:vector size="9" baseType="lpstr">
      <vt:lpstr>Exemplo1</vt:lpstr>
      <vt:lpstr>Exemplo2</vt:lpstr>
      <vt:lpstr>Exemplo3</vt:lpstr>
      <vt:lpstr>Exemplo4</vt:lpstr>
      <vt:lpstr>Exemplo5</vt:lpstr>
      <vt:lpstr>Exemplo6</vt:lpstr>
      <vt:lpstr>Exemplo7</vt:lpstr>
      <vt:lpstr>Gráfico.Exemplo3</vt:lpstr>
      <vt:lpstr>Gráfico.Exemplo5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GUSTAVO SILVA DE OLIVEIRA</cp:lastModifiedBy>
  <cp:lastPrinted>2022-04-27T23:24:39Z</cp:lastPrinted>
  <dcterms:created xsi:type="dcterms:W3CDTF">2015-02-14T17:36:10Z</dcterms:created>
  <dcterms:modified xsi:type="dcterms:W3CDTF">2022-04-28T01:20:42Z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