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3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0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1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senacspedu-my.sharepoint.com/personal/gustavo_soliveira53_senacsp_edu_br/Documents/Excell Avançado com DashBoard/Aula 3/"/>
    </mc:Choice>
  </mc:AlternateContent>
  <xr:revisionPtr revIDLastSave="778" documentId="13_ncr:1_{F9813BB9-2C19-4AE7-AD80-D8BD096668F8}" xr6:coauthVersionLast="47" xr6:coauthVersionMax="47" xr10:uidLastSave="{BF531825-6466-402C-89CC-92349A91823F}"/>
  <bookViews>
    <workbookView xWindow="-120" yWindow="-120" windowWidth="21840" windowHeight="13140" tabRatio="939" activeTab="4" xr2:uid="{00000000-000D-0000-FFFF-FFFF00000000}"/>
  </bookViews>
  <sheets>
    <sheet name="Rept_SE" sheetId="26" r:id="rId1"/>
    <sheet name="Exemplo1" sheetId="7" r:id="rId2"/>
    <sheet name="Exemplo2" sheetId="17" r:id="rId3"/>
    <sheet name="Exemplo3" sheetId="28" r:id="rId4"/>
    <sheet name="Exemplo4_Resumo" sheetId="24" r:id="rId5"/>
    <sheet name="Exemplo4" sheetId="31" r:id="rId6"/>
    <sheet name="Exemplo5" sheetId="25" r:id="rId7"/>
    <sheet name="Exemplo6" sheetId="38" r:id="rId8"/>
    <sheet name="Exemplo7" sheetId="44" r:id="rId9"/>
    <sheet name="Exemplo8" sheetId="36" r:id="rId10"/>
  </sheets>
  <definedNames>
    <definedName name="_xlnm._FilterDatabase" localSheetId="2" hidden="1">Exemplo2!$G$1:$H$10</definedName>
    <definedName name="_xlnm._FilterDatabase" localSheetId="3" hidden="1">Exemplo3!$F$1:$H$10</definedName>
    <definedName name="_xlnm._FilterDatabase" localSheetId="5" hidden="1">Exemplo4!$A$2:$E$18</definedName>
    <definedName name="_xlnm._FilterDatabase" localSheetId="4" hidden="1">Exemplo4_Resumo!#REF!</definedName>
    <definedName name="_xlnm._FilterDatabase" localSheetId="9" hidden="1">Exemplo8!$A$2:$E$18</definedName>
    <definedName name="_xlchart.v1.0" hidden="1">Exemplo1!$H$4:$H$8</definedName>
    <definedName name="_xlchart.v1.1" hidden="1">Exemplo1!$I$3</definedName>
    <definedName name="_xlchart.v1.10" hidden="1">Exemplo2!$C$3:$C$16</definedName>
    <definedName name="_xlchart.v1.2" hidden="1">Exemplo1!$I$4:$I$8</definedName>
    <definedName name="_xlchart.v1.3" hidden="1">Exemplo1!$J$3</definedName>
    <definedName name="_xlchart.v1.4" hidden="1">Exemplo1!$J$4:$J$8</definedName>
    <definedName name="_xlchart.v1.5" hidden="1">Exemplo1!$H$4:$H$8</definedName>
    <definedName name="_xlchart.v1.6" hidden="1">Exemplo1!$J$3</definedName>
    <definedName name="_xlchart.v1.7" hidden="1">Exemplo1!$J$4:$J$8</definedName>
    <definedName name="_xlchart.v1.8" hidden="1">Exemplo2!$A$3:$B$16</definedName>
    <definedName name="_xlchart.v1.9" hidden="1">Exemplo2!$C$2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24" l="1"/>
  <c r="E5" i="24"/>
  <c r="E6" i="24"/>
  <c r="E3" i="24"/>
  <c r="D4" i="24"/>
  <c r="D5" i="24"/>
  <c r="D6" i="24"/>
  <c r="D3" i="24"/>
  <c r="C4" i="24"/>
  <c r="C5" i="24"/>
  <c r="C6" i="24"/>
  <c r="C3" i="24"/>
  <c r="F1" i="28" a="1"/>
  <c r="F1" i="28" s="1"/>
  <c r="H4" i="28" s="1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3" i="17"/>
  <c r="J1" i="17"/>
  <c r="I5" i="17" s="1"/>
  <c r="K1" i="17" a="1"/>
  <c r="K1" i="17" s="1"/>
  <c r="J11" i="7"/>
  <c r="I11" i="7"/>
  <c r="H11" i="7"/>
  <c r="J8" i="7"/>
  <c r="I8" i="7"/>
  <c r="J1" i="7"/>
  <c r="I5" i="7" s="1"/>
  <c r="E5" i="26"/>
  <c r="E6" i="26"/>
  <c r="E7" i="26"/>
  <c r="E8" i="26"/>
  <c r="E9" i="26"/>
  <c r="E10" i="26"/>
  <c r="E11" i="26"/>
  <c r="E4" i="26"/>
  <c r="F5" i="24" l="1"/>
  <c r="F4" i="24"/>
  <c r="F6" i="24"/>
  <c r="F3" i="24"/>
  <c r="I6" i="28"/>
  <c r="I3" i="28"/>
  <c r="I5" i="28"/>
  <c r="I4" i="28"/>
  <c r="J4" i="28" s="1"/>
  <c r="H3" i="28"/>
  <c r="H6" i="28"/>
  <c r="H5" i="28"/>
  <c r="H4" i="17"/>
  <c r="H6" i="17"/>
  <c r="I3" i="17"/>
  <c r="H3" i="17"/>
  <c r="H5" i="17"/>
  <c r="J5" i="17" s="1"/>
  <c r="I4" i="17"/>
  <c r="I6" i="17"/>
  <c r="J4" i="7"/>
  <c r="I4" i="7"/>
  <c r="H10" i="7"/>
  <c r="J6" i="7"/>
  <c r="J7" i="7"/>
  <c r="J5" i="7"/>
  <c r="I7" i="7"/>
  <c r="I6" i="7"/>
  <c r="B7" i="38"/>
  <c r="J3" i="28" l="1"/>
  <c r="J5" i="28"/>
  <c r="J6" i="28"/>
  <c r="J3" i="17"/>
  <c r="J4" i="17"/>
  <c r="J6" i="17"/>
  <c r="I10" i="7"/>
  <c r="J10" i="7"/>
  <c r="C7" i="25"/>
  <c r="E17" i="7"/>
  <c r="F17" i="7" s="1"/>
  <c r="D17" i="7"/>
  <c r="E16" i="7"/>
  <c r="F16" i="7" s="1"/>
  <c r="D16" i="7"/>
  <c r="E15" i="7"/>
  <c r="F15" i="7" s="1"/>
  <c r="D15" i="7"/>
  <c r="E14" i="7"/>
  <c r="F14" i="7" s="1"/>
  <c r="D14" i="7"/>
  <c r="E13" i="7"/>
  <c r="F13" i="7" s="1"/>
  <c r="D13" i="7"/>
  <c r="E12" i="7"/>
  <c r="F12" i="7" s="1"/>
  <c r="D12" i="7"/>
  <c r="E11" i="7"/>
  <c r="F11" i="7" s="1"/>
  <c r="D11" i="7"/>
  <c r="E10" i="7"/>
  <c r="F10" i="7" s="1"/>
  <c r="D10" i="7"/>
  <c r="E9" i="7"/>
  <c r="F9" i="7" s="1"/>
  <c r="D9" i="7"/>
  <c r="E8" i="7"/>
  <c r="F8" i="7" s="1"/>
  <c r="D8" i="7"/>
  <c r="E7" i="7"/>
  <c r="F7" i="7" s="1"/>
  <c r="D7" i="7"/>
  <c r="E6" i="7"/>
  <c r="F6" i="7" s="1"/>
  <c r="D6" i="7"/>
  <c r="E5" i="7"/>
  <c r="F5" i="7" s="1"/>
  <c r="D5" i="7"/>
  <c r="E4" i="7"/>
  <c r="F4" i="7" s="1"/>
  <c r="D4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<sst xmlns="http://schemas.openxmlformats.org/spreadsheetml/2006/main" count="308" uniqueCount="71">
  <si>
    <t>Produtos eletrônicos</t>
  </si>
  <si>
    <t>Quantidade</t>
  </si>
  <si>
    <t>TV</t>
  </si>
  <si>
    <t>Celular</t>
  </si>
  <si>
    <t>Tablet</t>
  </si>
  <si>
    <t>iPad</t>
  </si>
  <si>
    <t>Valor Total</t>
  </si>
  <si>
    <t>Preço Unitário</t>
  </si>
  <si>
    <t>Resultados condicionais</t>
  </si>
  <si>
    <t>Resultado</t>
  </si>
  <si>
    <t>Valor</t>
  </si>
  <si>
    <t>Reajuste</t>
  </si>
  <si>
    <t>Total com Reajuste</t>
  </si>
  <si>
    <t>Jan</t>
  </si>
  <si>
    <t>Fev</t>
  </si>
  <si>
    <t>Mar</t>
  </si>
  <si>
    <t>Qtd - Produtos meses</t>
  </si>
  <si>
    <t>Total</t>
  </si>
  <si>
    <t>Fatura</t>
  </si>
  <si>
    <t>Previsão Orçamentária</t>
  </si>
  <si>
    <t>Meses</t>
  </si>
  <si>
    <t>Set</t>
  </si>
  <si>
    <t>Out</t>
  </si>
  <si>
    <t>Nov</t>
  </si>
  <si>
    <t>Dez</t>
  </si>
  <si>
    <t>Vendas 1</t>
  </si>
  <si>
    <t>Vendas 2</t>
  </si>
  <si>
    <t>Vendas 3</t>
  </si>
  <si>
    <t>Resultado Estatístico</t>
  </si>
  <si>
    <t>Loja 1</t>
  </si>
  <si>
    <t>Loja 2</t>
  </si>
  <si>
    <t>Lojas</t>
  </si>
  <si>
    <t>Qtd1</t>
  </si>
  <si>
    <t>Qtd2</t>
  </si>
  <si>
    <t>Qtd 1</t>
  </si>
  <si>
    <t>Qtd 2</t>
  </si>
  <si>
    <t>Loja 3</t>
  </si>
  <si>
    <t>Loja 4</t>
  </si>
  <si>
    <t>Produto</t>
  </si>
  <si>
    <t>Loja</t>
  </si>
  <si>
    <t>Posição</t>
  </si>
  <si>
    <t>Cidade</t>
  </si>
  <si>
    <t>Campinas</t>
  </si>
  <si>
    <t>Sumaré</t>
  </si>
  <si>
    <t>Hortolândia</t>
  </si>
  <si>
    <t>SE(E($I$1=1;$B$21=$A$26);F3+F3*$P$2;SE(E($I$1=2;B22=$A$27);F3-F3*$P$3;F3))</t>
  </si>
  <si>
    <t>Preços - Produtos meses</t>
  </si>
  <si>
    <t>Produtos</t>
  </si>
  <si>
    <t>Ponta</t>
  </si>
  <si>
    <t>Eixo X</t>
  </si>
  <si>
    <t>Eixo Y</t>
  </si>
  <si>
    <t>Base</t>
  </si>
  <si>
    <t>Meta</t>
  </si>
  <si>
    <t>Realizado</t>
  </si>
  <si>
    <t>Alcançado</t>
  </si>
  <si>
    <t>l</t>
  </si>
  <si>
    <t>Multa</t>
  </si>
  <si>
    <t>COS(PI())*E9/D7</t>
  </si>
  <si>
    <t>SEN(PI()*E9/D7)</t>
  </si>
  <si>
    <t>⁞</t>
  </si>
  <si>
    <t>!</t>
  </si>
  <si>
    <t>:</t>
  </si>
  <si>
    <t>Soma</t>
  </si>
  <si>
    <t>Posição Ponteiro:</t>
  </si>
  <si>
    <t>Ç</t>
  </si>
  <si>
    <t>È</t>
  </si>
  <si>
    <t>â</t>
  </si>
  <si>
    <t xml:space="preserve"> </t>
  </si>
  <si>
    <t>Total Venda</t>
  </si>
  <si>
    <t>Total:</t>
  </si>
  <si>
    <t>Selecione a Cidade: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</si>
</sst>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0.0%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12"/>
      <color theme="1"/>
      <name val="Verdana"/>
      <family val="2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1"/>
      <name val="Wingdings 3"/>
      <family val="1"/>
      <charset val="2"/>
    </font>
    <font>
      <sz val="22"/>
      <color theme="1"/>
      <name val="Wingdings 3"/>
      <family val="1"/>
      <charset val="2"/>
    </font>
    <font>
      <sz val="11"/>
      <color theme="1"/>
      <name val="Wingdings"/>
      <charset val="2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b/>
      <sz val="11"/>
      <color theme="1"/>
      <name val="Verdana"/>
      <family val="2"/>
    </font>
    <font>
      <b/>
      <sz val="2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1">
    <xf numFmtId="0" fontId="0" fillId="0" borderId="0" xfId="0"/>
    <xf numFmtId="44" fontId="0" fillId="0" borderId="0" xfId="2" applyFont="1"/>
    <xf numFmtId="0" fontId="2" fillId="0" borderId="1" xfId="0" applyFont="1" applyBorder="1"/>
    <xf numFmtId="44" fontId="2" fillId="0" borderId="1" xfId="2" applyFont="1" applyBorder="1"/>
    <xf numFmtId="0" fontId="0" fillId="0" borderId="1" xfId="0" applyBorder="1"/>
    <xf numFmtId="44" fontId="0" fillId="0" borderId="1" xfId="2" applyFont="1" applyBorder="1"/>
    <xf numFmtId="164" fontId="0" fillId="0" borderId="1" xfId="1" applyNumberFormat="1" applyFont="1" applyBorder="1"/>
    <xf numFmtId="44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44" fontId="5" fillId="0" borderId="1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2" fillId="0" borderId="1" xfId="2" applyNumberFormat="1" applyFont="1" applyBorder="1"/>
    <xf numFmtId="165" fontId="2" fillId="0" borderId="1" xfId="2" applyNumberFormat="1" applyFont="1" applyBorder="1"/>
    <xf numFmtId="43" fontId="0" fillId="0" borderId="1" xfId="1" applyFont="1" applyBorder="1"/>
    <xf numFmtId="165" fontId="0" fillId="0" borderId="1" xfId="3" applyNumberFormat="1" applyFont="1" applyBorder="1"/>
    <xf numFmtId="164" fontId="0" fillId="0" borderId="0" xfId="0" applyNumberFormat="1"/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/>
    </xf>
    <xf numFmtId="0" fontId="0" fillId="0" borderId="0" xfId="0" applyBorder="1" applyAlignment="1"/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/>
    <xf numFmtId="0" fontId="9" fillId="0" borderId="0" xfId="0" applyFont="1"/>
    <xf numFmtId="0" fontId="10" fillId="0" borderId="1" xfId="0" applyFont="1" applyBorder="1"/>
    <xf numFmtId="43" fontId="0" fillId="0" borderId="1" xfId="1" applyFont="1" applyBorder="1" applyProtection="1">
      <protection locked="0"/>
    </xf>
    <xf numFmtId="9" fontId="0" fillId="0" borderId="0" xfId="3" applyFont="1"/>
    <xf numFmtId="0" fontId="4" fillId="2" borderId="1" xfId="0" applyFont="1" applyFill="1" applyBorder="1"/>
    <xf numFmtId="0" fontId="11" fillId="0" borderId="1" xfId="0" applyFont="1" applyBorder="1"/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/>
    <xf numFmtId="0" fontId="13" fillId="0" borderId="0" xfId="0" applyFont="1"/>
    <xf numFmtId="0" fontId="0" fillId="0" borderId="0" xfId="0" applyFont="1"/>
    <xf numFmtId="0" fontId="14" fillId="0" borderId="1" xfId="0" applyFont="1" applyBorder="1" applyAlignment="1">
      <alignment horizontal="center" vertical="center"/>
    </xf>
    <xf numFmtId="0" fontId="12" fillId="0" borderId="6" xfId="0" applyFont="1" applyBorder="1"/>
    <xf numFmtId="0" fontId="11" fillId="0" borderId="6" xfId="0" applyFont="1" applyBorder="1" applyAlignment="1">
      <alignment horizontal="center"/>
    </xf>
    <xf numFmtId="9" fontId="12" fillId="0" borderId="6" xfId="3" applyFont="1" applyBorder="1" applyAlignment="1">
      <alignment horizontal="center"/>
    </xf>
    <xf numFmtId="0" fontId="16" fillId="0" borderId="1" xfId="0" applyFont="1" applyBorder="1"/>
    <xf numFmtId="0" fontId="15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7" fillId="0" borderId="1" xfId="0" applyFont="1" applyBorder="1"/>
    <xf numFmtId="0" fontId="18" fillId="0" borderId="1" xfId="0" applyFont="1" applyBorder="1"/>
    <xf numFmtId="0" fontId="3" fillId="2" borderId="1" xfId="0" applyFont="1" applyFill="1" applyBorder="1" applyAlignment="1"/>
    <xf numFmtId="0" fontId="4" fillId="0" borderId="1" xfId="0" applyFont="1" applyBorder="1" applyAlignment="1">
      <alignment horizontal="center" vertical="center" wrapText="1"/>
    </xf>
    <xf numFmtId="0" fontId="20" fillId="0" borderId="1" xfId="0" applyFont="1" applyBorder="1"/>
    <xf numFmtId="164" fontId="20" fillId="0" borderId="1" xfId="1" applyNumberFormat="1" applyFont="1" applyBorder="1"/>
    <xf numFmtId="0" fontId="4" fillId="4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/>
    <xf numFmtId="164" fontId="20" fillId="0" borderId="0" xfId="0" applyNumberFormat="1" applyFont="1"/>
    <xf numFmtId="0" fontId="4" fillId="0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43" fontId="20" fillId="0" borderId="1" xfId="1" applyFont="1" applyBorder="1" applyAlignment="1">
      <alignment horizontal="left"/>
    </xf>
    <xf numFmtId="0" fontId="4" fillId="0" borderId="1" xfId="0" applyFont="1" applyBorder="1" applyAlignment="1">
      <alignment horizontal="left" vertical="center" wrapText="1"/>
    </xf>
    <xf numFmtId="0" fontId="4" fillId="0" borderId="16" xfId="0" applyFont="1" applyBorder="1"/>
    <xf numFmtId="44" fontId="20" fillId="0" borderId="0" xfId="2" applyFont="1"/>
    <xf numFmtId="44" fontId="4" fillId="0" borderId="1" xfId="2" applyFont="1" applyBorder="1"/>
    <xf numFmtId="44" fontId="20" fillId="0" borderId="1" xfId="2" applyFont="1" applyBorder="1"/>
    <xf numFmtId="0" fontId="4" fillId="3" borderId="1" xfId="0" applyFont="1" applyFill="1" applyBorder="1" applyAlignment="1">
      <alignment horizontal="center"/>
    </xf>
    <xf numFmtId="0" fontId="0" fillId="0" borderId="1" xfId="0" applyFill="1" applyBorder="1"/>
    <xf numFmtId="164" fontId="0" fillId="0" borderId="1" xfId="1" applyNumberFormat="1" applyFont="1" applyFill="1" applyBorder="1"/>
    <xf numFmtId="43" fontId="0" fillId="0" borderId="1" xfId="1" applyFont="1" applyFill="1" applyBorder="1"/>
    <xf numFmtId="164" fontId="20" fillId="0" borderId="1" xfId="0" applyNumberFormat="1" applyFont="1" applyBorder="1"/>
    <xf numFmtId="0" fontId="19" fillId="4" borderId="1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44" fontId="2" fillId="0" borderId="6" xfId="2" applyFont="1" applyBorder="1" applyAlignment="1">
      <alignment horizontal="left"/>
    </xf>
    <xf numFmtId="44" fontId="2" fillId="0" borderId="7" xfId="2" applyFont="1" applyBorder="1" applyAlignment="1">
      <alignment horizontal="left"/>
    </xf>
    <xf numFmtId="0" fontId="2" fillId="0" borderId="1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0" fillId="0" borderId="1" xfId="0" applyNumberFormat="1" applyFont="1" applyBorder="1"/>
    <xf numFmtId="0" fontId="4" fillId="3" borderId="6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</cellXfs>
  <cellStyles count="4">
    <cellStyle name="Moeda" xfId="2" builtinId="4"/>
    <cellStyle name="Normal" xfId="0" builtinId="0"/>
    <cellStyle name="Porcentagem" xfId="3" builtinId="5"/>
    <cellStyle name="Vírgula" xfId="1" builtinId="3"/>
  </cellStyles>
  <dxfs count="13">
    <dxf>
      <font>
        <color rgb="FFFF0000"/>
      </font>
    </dxf>
    <dxf>
      <font>
        <color rgb="FFFFFF00"/>
      </font>
    </dxf>
    <dxf>
      <font>
        <color rgb="FF00B050"/>
      </font>
    </dxf>
    <dxf>
      <font>
        <color theme="0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70C0"/>
      </font>
    </dxf>
    <dxf>
      <font>
        <color rgb="FF0070C0"/>
      </font>
    </dxf>
    <dxf>
      <font>
        <color theme="5"/>
      </font>
    </dxf>
    <dxf>
      <font>
        <color rgb="FF0070C0"/>
      </font>
    </dxf>
    <dxf>
      <font>
        <color theme="5"/>
      </font>
    </dxf>
    <dxf>
      <font>
        <color rgb="FF0070C0"/>
      </font>
    </dxf>
    <dxf>
      <font>
        <color theme="5"/>
      </font>
    </dxf>
  </dxfs>
  <tableStyles count="0" defaultTableStyle="TableStyleMedium2" defaultPivotStyle="PivotStyleLight16"/>
  <colors>
    <mruColors>
      <color rgb="FF00FF00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2.2188555042307646E-2"/>
          <c:y val="2.777777777777777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4650075031267558"/>
          <c:y val="0.10680664916885389"/>
          <c:w val="0.50709998989441296"/>
          <c:h val="0.68048337707786521"/>
        </c:manualLayout>
      </c:layout>
      <c:pieChart>
        <c:varyColors val="1"/>
        <c:ser>
          <c:idx val="0"/>
          <c:order val="0"/>
          <c:tx>
            <c:strRef>
              <c:f>Exemplo1!$I$9</c:f>
              <c:strCache>
                <c:ptCount val="1"/>
                <c:pt idx="0">
                  <c:v>Quantidade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2E1-465F-9C8B-9ECD38ABD70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2E1-465F-9C8B-9ECD38ABD7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Exemplo1!$H$10:$H$11</c:f>
              <c:strCache>
                <c:ptCount val="2"/>
                <c:pt idx="0">
                  <c:v>Tablet</c:v>
                </c:pt>
                <c:pt idx="1">
                  <c:v>Total:</c:v>
                </c:pt>
              </c:strCache>
            </c:strRef>
          </c:cat>
          <c:val>
            <c:numRef>
              <c:f>Exemplo1!$I$10:$I$11</c:f>
              <c:numCache>
                <c:formatCode>General</c:formatCode>
                <c:ptCount val="2"/>
                <c:pt idx="0">
                  <c:v>214</c:v>
                </c:pt>
                <c:pt idx="1">
                  <c:v>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3-4C27-9F4F-C48EB461F9A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2.4925836399470592E-2"/>
          <c:y val="2.9969134151598197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6994414330312292"/>
          <c:y val="0.11030214550683233"/>
          <c:w val="0.46082388014802472"/>
          <c:h val="0.66513779508978155"/>
        </c:manualLayout>
      </c:layout>
      <c:pieChart>
        <c:varyColors val="1"/>
        <c:ser>
          <c:idx val="0"/>
          <c:order val="0"/>
          <c:tx>
            <c:strRef>
              <c:f>Exemplo1!$J$9</c:f>
              <c:strCache>
                <c:ptCount val="1"/>
                <c:pt idx="0">
                  <c:v>Total Venda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E0F-4830-8FED-CCC58D91096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E0F-4830-8FED-CCC58D9109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Exemplo1!$H$10:$H$11</c:f>
              <c:strCache>
                <c:ptCount val="2"/>
                <c:pt idx="0">
                  <c:v>Tablet</c:v>
                </c:pt>
                <c:pt idx="1">
                  <c:v>Total:</c:v>
                </c:pt>
              </c:strCache>
            </c:strRef>
          </c:cat>
          <c:val>
            <c:numRef>
              <c:f>Exemplo1!$J$10:$J$11</c:f>
              <c:numCache>
                <c:formatCode>General</c:formatCode>
                <c:ptCount val="2"/>
                <c:pt idx="0" formatCode="_(&quot;R$&quot;* #,##0.00_);_(&quot;R$&quot;* \(#,##0.00\);_(&quot;R$&quot;* &quot;-&quot;??_);_(@_)">
                  <c:v>305592</c:v>
                </c:pt>
                <c:pt idx="1">
                  <c:v>1103906.3999999999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80-47AA-973E-51DC809A8F9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Exemplo2!$J$1</c:f>
          <c:strCache>
            <c:ptCount val="1"/>
            <c:pt idx="0">
              <c:v>Celular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Exemplo2!$J$2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4D0-4F5D-8A9E-7AED9EEDFD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4D0-4F5D-8A9E-7AED9EEDFD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4D0-4F5D-8A9E-7AED9EEDFD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4D0-4F5D-8A9E-7AED9EEDFDA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Exemplo2!$G$3:$G$6</c:f>
              <c:strCache>
                <c:ptCount val="4"/>
                <c:pt idx="0">
                  <c:v>Loja 1</c:v>
                </c:pt>
                <c:pt idx="1">
                  <c:v>Loja 2</c:v>
                </c:pt>
                <c:pt idx="2">
                  <c:v>Loja 3</c:v>
                </c:pt>
                <c:pt idx="3">
                  <c:v>Loja 4</c:v>
                </c:pt>
              </c:strCache>
            </c:strRef>
          </c:cat>
          <c:val>
            <c:numRef>
              <c:f>Exemplo2!$J$3:$J$6</c:f>
              <c:numCache>
                <c:formatCode>General</c:formatCode>
                <c:ptCount val="4"/>
                <c:pt idx="0">
                  <c:v>640</c:v>
                </c:pt>
                <c:pt idx="1">
                  <c:v>1147</c:v>
                </c:pt>
                <c:pt idx="2">
                  <c:v>539</c:v>
                </c:pt>
                <c:pt idx="3">
                  <c:v>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DE-4168-AC58-54F37CE7119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Exemplo2!$J$1</c:f>
          <c:strCache>
            <c:ptCount val="1"/>
            <c:pt idx="0">
              <c:v>Celular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Exemplo2!$H$2</c:f>
              <c:strCache>
                <c:ptCount val="1"/>
                <c:pt idx="0">
                  <c:v>Qtd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Exemplo2!$G$3:$G$6</c:f>
              <c:strCache>
                <c:ptCount val="4"/>
                <c:pt idx="0">
                  <c:v>Loja 1</c:v>
                </c:pt>
                <c:pt idx="1">
                  <c:v>Loja 2</c:v>
                </c:pt>
                <c:pt idx="2">
                  <c:v>Loja 3</c:v>
                </c:pt>
                <c:pt idx="3">
                  <c:v>Loja 4</c:v>
                </c:pt>
              </c:strCache>
            </c:strRef>
          </c:cat>
          <c:val>
            <c:numRef>
              <c:f>Exemplo2!$H$3:$H$6</c:f>
              <c:numCache>
                <c:formatCode>General</c:formatCode>
                <c:ptCount val="4"/>
                <c:pt idx="0">
                  <c:v>340</c:v>
                </c:pt>
                <c:pt idx="1">
                  <c:v>890</c:v>
                </c:pt>
                <c:pt idx="2">
                  <c:v>350</c:v>
                </c:pt>
                <c:pt idx="3">
                  <c:v>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65-4541-9677-F7C3CB81CC12}"/>
            </c:ext>
          </c:extLst>
        </c:ser>
        <c:ser>
          <c:idx val="1"/>
          <c:order val="1"/>
          <c:tx>
            <c:strRef>
              <c:f>Exemplo2!$I$2</c:f>
              <c:strCache>
                <c:ptCount val="1"/>
                <c:pt idx="0">
                  <c:v>Qtd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Exemplo2!$G$3:$G$6</c:f>
              <c:strCache>
                <c:ptCount val="4"/>
                <c:pt idx="0">
                  <c:v>Loja 1</c:v>
                </c:pt>
                <c:pt idx="1">
                  <c:v>Loja 2</c:v>
                </c:pt>
                <c:pt idx="2">
                  <c:v>Loja 3</c:v>
                </c:pt>
                <c:pt idx="3">
                  <c:v>Loja 4</c:v>
                </c:pt>
              </c:strCache>
            </c:strRef>
          </c:cat>
          <c:val>
            <c:numRef>
              <c:f>Exemplo2!$I$3:$I$6</c:f>
              <c:numCache>
                <c:formatCode>General</c:formatCode>
                <c:ptCount val="4"/>
                <c:pt idx="0">
                  <c:v>300</c:v>
                </c:pt>
                <c:pt idx="1">
                  <c:v>257</c:v>
                </c:pt>
                <c:pt idx="2">
                  <c:v>189</c:v>
                </c:pt>
                <c:pt idx="3">
                  <c:v>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65-4541-9677-F7C3CB81CC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70479232"/>
        <c:axId val="1070475488"/>
      </c:barChart>
      <c:catAx>
        <c:axId val="10704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0475488"/>
        <c:crosses val="autoZero"/>
        <c:auto val="1"/>
        <c:lblAlgn val="ctr"/>
        <c:lblOffset val="100"/>
        <c:noMultiLvlLbl val="0"/>
      </c:catAx>
      <c:valAx>
        <c:axId val="107047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047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Exemplo3!$G$2</c:f>
          <c:strCache>
            <c:ptCount val="1"/>
            <c:pt idx="0">
              <c:v>Lojas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Exemplo3!$H$2</c:f>
              <c:strCache>
                <c:ptCount val="1"/>
                <c:pt idx="0">
                  <c:v>Qtd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Exemplo3!$G$3:$G$6</c:f>
              <c:strCache>
                <c:ptCount val="4"/>
                <c:pt idx="0">
                  <c:v> Loja 1 </c:v>
                </c:pt>
                <c:pt idx="1">
                  <c:v> Loja 2 </c:v>
                </c:pt>
                <c:pt idx="2">
                  <c:v> Loja 3 </c:v>
                </c:pt>
                <c:pt idx="3">
                  <c:v> Loja 4 </c:v>
                </c:pt>
              </c:strCache>
            </c:strRef>
          </c:cat>
          <c:val>
            <c:numRef>
              <c:f>Exemplo3!$H$3:$H$6</c:f>
              <c:numCache>
                <c:formatCode>General</c:formatCode>
                <c:ptCount val="4"/>
                <c:pt idx="0">
                  <c:v>200</c:v>
                </c:pt>
                <c:pt idx="1">
                  <c:v>600</c:v>
                </c:pt>
                <c:pt idx="2">
                  <c:v>420</c:v>
                </c:pt>
                <c:pt idx="3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AE-4957-9C96-E9A169F70244}"/>
            </c:ext>
          </c:extLst>
        </c:ser>
        <c:ser>
          <c:idx val="1"/>
          <c:order val="1"/>
          <c:tx>
            <c:strRef>
              <c:f>Exemplo3!$I$2</c:f>
              <c:strCache>
                <c:ptCount val="1"/>
                <c:pt idx="0">
                  <c:v>Qtd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Exemplo3!$G$3:$G$6</c:f>
              <c:strCache>
                <c:ptCount val="4"/>
                <c:pt idx="0">
                  <c:v> Loja 1 </c:v>
                </c:pt>
                <c:pt idx="1">
                  <c:v> Loja 2 </c:v>
                </c:pt>
                <c:pt idx="2">
                  <c:v> Loja 3 </c:v>
                </c:pt>
                <c:pt idx="3">
                  <c:v> Loja 4 </c:v>
                </c:pt>
              </c:strCache>
            </c:strRef>
          </c:cat>
          <c:val>
            <c:numRef>
              <c:f>Exemplo3!$I$3:$I$6</c:f>
              <c:numCache>
                <c:formatCode>General</c:formatCode>
                <c:ptCount val="4"/>
                <c:pt idx="0">
                  <c:v>543</c:v>
                </c:pt>
                <c:pt idx="1">
                  <c:v>265</c:v>
                </c:pt>
                <c:pt idx="2">
                  <c:v>471</c:v>
                </c:pt>
                <c:pt idx="3">
                  <c:v>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AE-4957-9C96-E9A169F7024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918833680"/>
        <c:axId val="918837008"/>
        <c:axId val="0"/>
      </c:bar3DChart>
      <c:catAx>
        <c:axId val="91883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8837008"/>
        <c:crosses val="autoZero"/>
        <c:auto val="1"/>
        <c:lblAlgn val="ctr"/>
        <c:lblOffset val="100"/>
        <c:noMultiLvlLbl val="0"/>
      </c:catAx>
      <c:valAx>
        <c:axId val="91883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883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Exemplo3!$G$2</c:f>
          <c:strCache>
            <c:ptCount val="1"/>
            <c:pt idx="0">
              <c:v>Lojas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Exemplo3!$J$2</c:f>
              <c:strCache>
                <c:ptCount val="1"/>
                <c:pt idx="0">
                  <c:v>Soma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Exemplo3!$G$3:$G$6</c:f>
              <c:strCache>
                <c:ptCount val="4"/>
                <c:pt idx="0">
                  <c:v> Loja 1 </c:v>
                </c:pt>
                <c:pt idx="1">
                  <c:v> Loja 2 </c:v>
                </c:pt>
                <c:pt idx="2">
                  <c:v> Loja 3 </c:v>
                </c:pt>
                <c:pt idx="3">
                  <c:v> Loja 4 </c:v>
                </c:pt>
              </c:strCache>
            </c:strRef>
          </c:cat>
          <c:val>
            <c:numRef>
              <c:f>Exemplo3!$J$3:$J$6</c:f>
              <c:numCache>
                <c:formatCode>General</c:formatCode>
                <c:ptCount val="4"/>
                <c:pt idx="0">
                  <c:v>743</c:v>
                </c:pt>
                <c:pt idx="1">
                  <c:v>865</c:v>
                </c:pt>
                <c:pt idx="2">
                  <c:v>891</c:v>
                </c:pt>
                <c:pt idx="3">
                  <c:v>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CD-4449-89ED-86EE5B38E2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064924736"/>
        <c:axId val="1064925152"/>
        <c:axId val="0"/>
      </c:bar3DChart>
      <c:catAx>
        <c:axId val="106492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4925152"/>
        <c:crosses val="autoZero"/>
        <c:auto val="1"/>
        <c:lblAlgn val="ctr"/>
        <c:lblOffset val="100"/>
        <c:noMultiLvlLbl val="0"/>
      </c:catAx>
      <c:valAx>
        <c:axId val="106492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492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Exemplo3!$F$1</c:f>
          <c:strCache>
            <c:ptCount val="1"/>
            <c:pt idx="0">
              <c:v>TV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Exemplo3!$H$2</c:f>
              <c:strCache>
                <c:ptCount val="1"/>
                <c:pt idx="0">
                  <c:v>Qtd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Exemplo3!$F$3:$F$6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Exemplo3!$H$3:$H$6</c:f>
              <c:numCache>
                <c:formatCode>General</c:formatCode>
                <c:ptCount val="4"/>
                <c:pt idx="0">
                  <c:v>200</c:v>
                </c:pt>
                <c:pt idx="1">
                  <c:v>600</c:v>
                </c:pt>
                <c:pt idx="2">
                  <c:v>420</c:v>
                </c:pt>
                <c:pt idx="3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4-4912-A129-F7FF764F247B}"/>
            </c:ext>
          </c:extLst>
        </c:ser>
        <c:ser>
          <c:idx val="1"/>
          <c:order val="1"/>
          <c:tx>
            <c:strRef>
              <c:f>Exemplo3!$I$2</c:f>
              <c:strCache>
                <c:ptCount val="1"/>
                <c:pt idx="0">
                  <c:v>Qtd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Exemplo3!$F$3:$F$6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Exemplo3!$I$3:$I$6</c:f>
              <c:numCache>
                <c:formatCode>General</c:formatCode>
                <c:ptCount val="4"/>
                <c:pt idx="0">
                  <c:v>543</c:v>
                </c:pt>
                <c:pt idx="1">
                  <c:v>265</c:v>
                </c:pt>
                <c:pt idx="2">
                  <c:v>471</c:v>
                </c:pt>
                <c:pt idx="3">
                  <c:v>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64-4912-A129-F7FF764F247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18842416"/>
        <c:axId val="918846160"/>
      </c:barChart>
      <c:catAx>
        <c:axId val="9188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8846160"/>
        <c:crosses val="autoZero"/>
        <c:auto val="1"/>
        <c:lblAlgn val="ctr"/>
        <c:lblOffset val="100"/>
        <c:noMultiLvlLbl val="0"/>
      </c:catAx>
      <c:valAx>
        <c:axId val="91884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884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Exemplo3!$F$1</c:f>
          <c:strCache>
            <c:ptCount val="1"/>
            <c:pt idx="0">
              <c:v>TV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Exemplo3!$J$2</c:f>
              <c:strCache>
                <c:ptCount val="1"/>
                <c:pt idx="0">
                  <c:v>Soma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Exemplo3!$F$3:$F$6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Exemplo3!$J$3:$J$6</c:f>
              <c:numCache>
                <c:formatCode>General</c:formatCode>
                <c:ptCount val="4"/>
                <c:pt idx="0">
                  <c:v>743</c:v>
                </c:pt>
                <c:pt idx="1">
                  <c:v>865</c:v>
                </c:pt>
                <c:pt idx="2">
                  <c:v>891</c:v>
                </c:pt>
                <c:pt idx="3">
                  <c:v>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68-4AB6-982F-FF1DB7D9A96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7829424"/>
        <c:axId val="2137826096"/>
      </c:barChart>
      <c:catAx>
        <c:axId val="213782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7826096"/>
        <c:crosses val="autoZero"/>
        <c:auto val="1"/>
        <c:lblAlgn val="ctr"/>
        <c:lblOffset val="100"/>
        <c:noMultiLvlLbl val="0"/>
      </c:catAx>
      <c:valAx>
        <c:axId val="213782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782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Exemplo4_Resumo!$D$1</c:f>
          <c:strCache>
            <c:ptCount val="1"/>
            <c:pt idx="0">
              <c:v>Campinas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Exemplo4_Resumo!$C$2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Exemplo4_Resumo!$B$3:$B$6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Exemplo4_Resumo!$C$3:$C$6</c:f>
              <c:numCache>
                <c:formatCode>General</c:formatCode>
                <c:ptCount val="4"/>
                <c:pt idx="0">
                  <c:v>954</c:v>
                </c:pt>
                <c:pt idx="1">
                  <c:v>1150</c:v>
                </c:pt>
                <c:pt idx="2">
                  <c:v>454</c:v>
                </c:pt>
                <c:pt idx="3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D-4666-B0A6-A8E9279CA3DE}"/>
            </c:ext>
          </c:extLst>
        </c:ser>
        <c:ser>
          <c:idx val="1"/>
          <c:order val="1"/>
          <c:tx>
            <c:strRef>
              <c:f>Exemplo4_Resumo!$D$2</c:f>
              <c:strCache>
                <c:ptCount val="1"/>
                <c:pt idx="0">
                  <c:v>Fev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Exemplo4_Resumo!$B$3:$B$6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Exemplo4_Resumo!$D$3:$D$6</c:f>
              <c:numCache>
                <c:formatCode>General</c:formatCode>
                <c:ptCount val="4"/>
                <c:pt idx="0">
                  <c:v>974</c:v>
                </c:pt>
                <c:pt idx="1">
                  <c:v>1160</c:v>
                </c:pt>
                <c:pt idx="2">
                  <c:v>464</c:v>
                </c:pt>
                <c:pt idx="3">
                  <c:v>1510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BD-4666-B0A6-A8E9279CA3DE}"/>
            </c:ext>
          </c:extLst>
        </c:ser>
        <c:ser>
          <c:idx val="2"/>
          <c:order val="2"/>
          <c:tx>
            <c:strRef>
              <c:f>Exemplo4_Resumo!$E$2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Exemplo4_Resumo!$B$3:$B$6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Exemplo4_Resumo!$E$3:$E$6</c:f>
              <c:numCache>
                <c:formatCode>General</c:formatCode>
                <c:ptCount val="4"/>
                <c:pt idx="0">
                  <c:v>1004</c:v>
                </c:pt>
                <c:pt idx="1">
                  <c:v>1175</c:v>
                </c:pt>
                <c:pt idx="2">
                  <c:v>479</c:v>
                </c:pt>
                <c:pt idx="3">
                  <c:v>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BD-4666-B0A6-A8E9279CA3D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493738975"/>
        <c:axId val="1493739391"/>
      </c:barChart>
      <c:catAx>
        <c:axId val="1493738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3739391"/>
        <c:crosses val="autoZero"/>
        <c:auto val="1"/>
        <c:lblAlgn val="ctr"/>
        <c:lblOffset val="100"/>
        <c:noMultiLvlLbl val="0"/>
      </c:catAx>
      <c:valAx>
        <c:axId val="149373939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49373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Exemplo4_Resumo!$D$1</c:f>
          <c:strCache>
            <c:ptCount val="1"/>
            <c:pt idx="0">
              <c:v>Campinas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Exemplo4_Resumo!$B$3:$B$6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Exemplo4_Resumo!$F$3:$F$6</c:f>
              <c:numCache>
                <c:formatCode>General</c:formatCode>
                <c:ptCount val="4"/>
                <c:pt idx="0">
                  <c:v>2932</c:v>
                </c:pt>
                <c:pt idx="1">
                  <c:v>3485</c:v>
                </c:pt>
                <c:pt idx="2">
                  <c:v>1397</c:v>
                </c:pt>
                <c:pt idx="3">
                  <c:v>4535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92-4FC2-A02D-BC299915320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27420607"/>
        <c:axId val="1527421023"/>
      </c:barChart>
      <c:catAx>
        <c:axId val="1527420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7421023"/>
        <c:crosses val="autoZero"/>
        <c:auto val="1"/>
        <c:lblAlgn val="ctr"/>
        <c:lblOffset val="100"/>
        <c:noMultiLvlLbl val="0"/>
      </c:catAx>
      <c:valAx>
        <c:axId val="152742102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274206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Exemplo4_Resumo!$D$1</c:f>
          <c:strCache>
            <c:ptCount val="1"/>
            <c:pt idx="0">
              <c:v>Campinas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Exemplo4_Resumo!$F$2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Exemplo4_Resumo!$B$3:$B$6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Exemplo4_Resumo!$F$3:$F$6</c:f>
              <c:numCache>
                <c:formatCode>General</c:formatCode>
                <c:ptCount val="4"/>
                <c:pt idx="0">
                  <c:v>2932</c:v>
                </c:pt>
                <c:pt idx="1">
                  <c:v>3485</c:v>
                </c:pt>
                <c:pt idx="2">
                  <c:v>1397</c:v>
                </c:pt>
                <c:pt idx="3">
                  <c:v>4535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4-4E8C-A920-9CC0342DD80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  <cx:data id="1">
      <cx:strDim type="cat">
        <cx:f>_xlchart.v1.0</cx:f>
      </cx:strDim>
      <cx:numDim type="val">
        <cx:f>_xlchart.v1.4</cx:f>
      </cx:numDim>
    </cx:data>
  </cx:chartData>
  <cx:chart>
    <cx:title pos="t" align="ctr" overlay="0">
      <cx:tx>
        <cx:txData>
          <cx:v>Quantidade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pt-B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Quantidade</a:t>
          </a:r>
        </a:p>
      </cx:txPr>
    </cx:title>
    <cx:plotArea>
      <cx:plotAreaRegion>
        <cx:series layoutId="waterfall" uniqueId="{A33EC71B-7A4B-44B1-9C32-06541CE3F027}" formatIdx="0">
          <cx:tx>
            <cx:txData>
              <cx:f>_xlchart.v1.1</cx:f>
              <cx:v> Quantidade </cx:v>
            </cx:txData>
          </cx:tx>
          <cx:dataLabels>
            <cx:visibility seriesName="0" categoryName="0" value="1"/>
          </cx:dataLabels>
          <cx:dataId val="0"/>
          <cx:layoutPr>
            <cx:subtotals>
              <cx:idx val="4"/>
            </cx:subtotals>
          </cx:layoutPr>
        </cx:series>
        <cx:series layoutId="waterfall" hidden="1" uniqueId="{5218089A-FD86-42A4-8385-BB162567E09F}" formatIdx="1">
          <cx:tx>
            <cx:txData>
              <cx:f>_xlchart.v1.3</cx:f>
              <cx:v>Total com Reajuste</cx:v>
            </cx:txData>
          </cx:tx>
          <cx:dataLabels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val">
        <cx:f>_xlchart.v1.7</cx:f>
      </cx:numDim>
    </cx:data>
  </cx:chartData>
  <cx:chart>
    <cx:title pos="t" align="ctr" overlay="0">
      <cx:tx>
        <cx:txData>
          <cx:v>Total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pt-B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Total </a:t>
          </a:r>
        </a:p>
      </cx:txPr>
    </cx:title>
    <cx:plotArea>
      <cx:plotAreaRegion>
        <cx:series layoutId="waterfall" uniqueId="{E65776AD-D563-4656-A6A8-9B20D2AA8D0F}">
          <cx:tx>
            <cx:txData>
              <cx:f>_xlchart.v1.6</cx:f>
              <cx:v>Total com Reajuste</cx:v>
            </cx:txData>
          </cx:tx>
          <cx:dataLabels pos="outEnd">
            <cx:visibility seriesName="0" categoryName="0" value="1"/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_xlchart.v1.8</cx:f>
      </cx:strDim>
      <cx:numDim type="size">
        <cx:f>_xlchart.v1.10</cx:f>
      </cx:numDim>
    </cx:data>
  </cx:chartData>
  <cx:chart>
    <cx:title pos="t" align="ctr" overlay="0">
      <cx:tx>
        <cx:txData>
          <cx:v>Produtos Eletrônicos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pt-B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Produtos Eletrônicos</a:t>
          </a:r>
        </a:p>
      </cx:txPr>
    </cx:title>
    <cx:plotArea>
      <cx:plotAreaRegion>
        <cx:series layoutId="sunburst" uniqueId="{C86F8F65-275F-4749-9DE2-88022D8306B8}">
          <cx:tx>
            <cx:txData>
              <cx:f>_xlchart.v1.9</cx:f>
              <cx:v>Total</cx:v>
            </cx:txData>
          </cx:tx>
          <cx:dataLabels pos="ctr">
            <cx:visibility seriesName="0" categoryName="1" value="0"/>
          </cx:dataLabels>
          <cx:dataId val="0"/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22" fmlaLink="$E$1" fmlaRange="$L$1:$L$4" sel="1" val="0"/>
</file>

<file path=xl/ctrlProps/ctrlProp2.xml><?xml version="1.0" encoding="utf-8"?>
<formControlPr xmlns="http://schemas.microsoft.com/office/spreadsheetml/2009/9/main" objectType="Scroll" dx="22" fmlaLink="$I$1" max="4" min="1" page="10" val="3"/>
</file>

<file path=xl/ctrlProps/ctrlProp3.xml><?xml version="1.0" encoding="utf-8"?>
<formControlPr xmlns="http://schemas.microsoft.com/office/spreadsheetml/2009/9/main" objectType="Scroll" dx="22" fmlaLink="$H$1" max="4" min="1" page="10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H$1" lockText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microsoft.com/office/2014/relationships/chartEx" Target="../charts/chartEx3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28575</xdr:rowOff>
        </xdr:from>
        <xdr:to>
          <xdr:col>4</xdr:col>
          <xdr:colOff>2171700</xdr:colOff>
          <xdr:row>0</xdr:row>
          <xdr:rowOff>257175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2049" name="Scroll Ba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209056</xdr:colOff>
      <xdr:row>0</xdr:row>
      <xdr:rowOff>283737</xdr:rowOff>
    </xdr:from>
    <xdr:to>
      <xdr:col>24</xdr:col>
      <xdr:colOff>68385</xdr:colOff>
      <xdr:row>11</xdr:row>
      <xdr:rowOff>57644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67356" y="283737"/>
              <a:ext cx="7784129" cy="25361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11</xdr:col>
      <xdr:colOff>209055</xdr:colOff>
      <xdr:row>11</xdr:row>
      <xdr:rowOff>41067</xdr:rowOff>
    </xdr:from>
    <xdr:to>
      <xdr:col>24</xdr:col>
      <xdr:colOff>67235</xdr:colOff>
      <xdr:row>24</xdr:row>
      <xdr:rowOff>112058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Gráfico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67355" y="2803317"/>
              <a:ext cx="7782980" cy="25474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24</xdr:col>
      <xdr:colOff>67235</xdr:colOff>
      <xdr:row>0</xdr:row>
      <xdr:rowOff>281267</xdr:rowOff>
    </xdr:from>
    <xdr:to>
      <xdr:col>30</xdr:col>
      <xdr:colOff>117661</xdr:colOff>
      <xdr:row>11</xdr:row>
      <xdr:rowOff>44823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72838</xdr:colOff>
      <xdr:row>11</xdr:row>
      <xdr:rowOff>45943</xdr:rowOff>
    </xdr:from>
    <xdr:to>
      <xdr:col>30</xdr:col>
      <xdr:colOff>112059</xdr:colOff>
      <xdr:row>24</xdr:row>
      <xdr:rowOff>112059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</xdr:row>
          <xdr:rowOff>9525</xdr:rowOff>
        </xdr:from>
        <xdr:to>
          <xdr:col>10</xdr:col>
          <xdr:colOff>495300</xdr:colOff>
          <xdr:row>5</xdr:row>
          <xdr:rowOff>180975</xdr:rowOff>
        </xdr:to>
        <xdr:sp macro="" textlink="">
          <xdr:nvSpPr>
            <xdr:cNvPr id="3073" name="Scroll Ba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246529</xdr:colOff>
      <xdr:row>1</xdr:row>
      <xdr:rowOff>33618</xdr:rowOff>
    </xdr:from>
    <xdr:to>
      <xdr:col>17</xdr:col>
      <xdr:colOff>670017</xdr:colOff>
      <xdr:row>10</xdr:row>
      <xdr:rowOff>979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47624</xdr:colOff>
      <xdr:row>6</xdr:row>
      <xdr:rowOff>38099</xdr:rowOff>
    </xdr:from>
    <xdr:to>
      <xdr:col>12</xdr:col>
      <xdr:colOff>381000</xdr:colOff>
      <xdr:row>24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14624" y="1704974"/>
              <a:ext cx="4429126" cy="36385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13</xdr:col>
      <xdr:colOff>57150</xdr:colOff>
      <xdr:row>10</xdr:row>
      <xdr:rowOff>166687</xdr:rowOff>
    </xdr:from>
    <xdr:to>
      <xdr:col>19</xdr:col>
      <xdr:colOff>628650</xdr:colOff>
      <xdr:row>24</xdr:row>
      <xdr:rowOff>185737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7</xdr:row>
          <xdr:rowOff>0</xdr:rowOff>
        </xdr:from>
        <xdr:to>
          <xdr:col>8</xdr:col>
          <xdr:colOff>523875</xdr:colOff>
          <xdr:row>14</xdr:row>
          <xdr:rowOff>104775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Selecione o Produto: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8</xdr:row>
          <xdr:rowOff>9525</xdr:rowOff>
        </xdr:from>
        <xdr:to>
          <xdr:col>6</xdr:col>
          <xdr:colOff>361950</xdr:colOff>
          <xdr:row>9</xdr:row>
          <xdr:rowOff>28575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Celular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9</xdr:row>
          <xdr:rowOff>123825</xdr:rowOff>
        </xdr:from>
        <xdr:to>
          <xdr:col>6</xdr:col>
          <xdr:colOff>361950</xdr:colOff>
          <xdr:row>10</xdr:row>
          <xdr:rowOff>142875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Ipad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11</xdr:row>
          <xdr:rowOff>28575</xdr:rowOff>
        </xdr:from>
        <xdr:to>
          <xdr:col>6</xdr:col>
          <xdr:colOff>361950</xdr:colOff>
          <xdr:row>12</xdr:row>
          <xdr:rowOff>47625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Tablet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</xdr:row>
          <xdr:rowOff>190500</xdr:rowOff>
        </xdr:from>
        <xdr:to>
          <xdr:col>6</xdr:col>
          <xdr:colOff>361950</xdr:colOff>
          <xdr:row>14</xdr:row>
          <xdr:rowOff>9525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TV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47625</xdr:colOff>
      <xdr:row>1</xdr:row>
      <xdr:rowOff>21431</xdr:rowOff>
    </xdr:from>
    <xdr:to>
      <xdr:col>16</xdr:col>
      <xdr:colOff>619125</xdr:colOff>
      <xdr:row>12</xdr:row>
      <xdr:rowOff>177006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668617</xdr:colOff>
      <xdr:row>1</xdr:row>
      <xdr:rowOff>26101</xdr:rowOff>
    </xdr:from>
    <xdr:to>
      <xdr:col>23</xdr:col>
      <xdr:colOff>582706</xdr:colOff>
      <xdr:row>12</xdr:row>
      <xdr:rowOff>179294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13</xdr:row>
      <xdr:rowOff>80962</xdr:rowOff>
    </xdr:from>
    <xdr:to>
      <xdr:col>16</xdr:col>
      <xdr:colOff>609600</xdr:colOff>
      <xdr:row>27</xdr:row>
      <xdr:rowOff>119062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104775</xdr:colOff>
      <xdr:row>13</xdr:row>
      <xdr:rowOff>128587</xdr:rowOff>
    </xdr:from>
    <xdr:to>
      <xdr:col>24</xdr:col>
      <xdr:colOff>9525</xdr:colOff>
      <xdr:row>27</xdr:row>
      <xdr:rowOff>166687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21362</xdr:colOff>
      <xdr:row>6</xdr:row>
      <xdr:rowOff>188368</xdr:rowOff>
    </xdr:from>
    <xdr:to>
      <xdr:col>6</xdr:col>
      <xdr:colOff>150202</xdr:colOff>
      <xdr:row>21</xdr:row>
      <xdr:rowOff>74068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E86EA7B-F3EB-A510-0176-D8A9F1A795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8665</xdr:colOff>
      <xdr:row>21</xdr:row>
      <xdr:rowOff>159562</xdr:rowOff>
    </xdr:from>
    <xdr:to>
      <xdr:col>6</xdr:col>
      <xdr:colOff>142693</xdr:colOff>
      <xdr:row>36</xdr:row>
      <xdr:rowOff>46218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2D5F4FF-0103-ADB7-3F48-068ABF04EE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245166</xdr:colOff>
      <xdr:row>7</xdr:row>
      <xdr:rowOff>16081</xdr:rowOff>
    </xdr:from>
    <xdr:to>
      <xdr:col>12</xdr:col>
      <xdr:colOff>658091</xdr:colOff>
      <xdr:row>36</xdr:row>
      <xdr:rowOff>18388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B9E1737-6C9E-F711-1242-28C641EA6E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164523</xdr:colOff>
      <xdr:row>0</xdr:row>
      <xdr:rowOff>158336</xdr:rowOff>
    </xdr:from>
    <xdr:to>
      <xdr:col>19</xdr:col>
      <xdr:colOff>346365</xdr:colOff>
      <xdr:row>36</xdr:row>
      <xdr:rowOff>86590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EEDCD1B4-BA03-C7D0-8CF5-08784CD711BB}"/>
            </a:ext>
          </a:extLst>
        </xdr:cNvPr>
        <xdr:cNvSpPr/>
      </xdr:nvSpPr>
      <xdr:spPr>
        <a:xfrm>
          <a:off x="9949296" y="158336"/>
          <a:ext cx="4234296" cy="6890163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600" b="1"/>
            <a:t>Total de Produtos</a:t>
          </a:r>
        </a:p>
      </xdr:txBody>
    </xdr:sp>
    <xdr:clientData/>
  </xdr:twoCellAnchor>
  <xdr:twoCellAnchor>
    <xdr:from>
      <xdr:col>6</xdr:col>
      <xdr:colOff>258535</xdr:colOff>
      <xdr:row>0</xdr:row>
      <xdr:rowOff>126423</xdr:rowOff>
    </xdr:from>
    <xdr:to>
      <xdr:col>12</xdr:col>
      <xdr:colOff>653142</xdr:colOff>
      <xdr:row>6</xdr:row>
      <xdr:rowOff>71994</xdr:rowOff>
    </xdr:to>
    <xdr:sp macro="" textlink="$D$1">
      <xdr:nvSpPr>
        <xdr:cNvPr id="8" name="Retângulo: Cantos Arredondados 7">
          <a:extLst>
            <a:ext uri="{FF2B5EF4-FFF2-40B4-BE49-F238E27FC236}">
              <a16:creationId xmlns:a16="http://schemas.microsoft.com/office/drawing/2014/main" id="{ABEB3A5D-0045-494A-8C84-FC10A4457D95}"/>
            </a:ext>
          </a:extLst>
        </xdr:cNvPr>
        <xdr:cNvSpPr/>
      </xdr:nvSpPr>
      <xdr:spPr>
        <a:xfrm>
          <a:off x="5225142" y="126423"/>
          <a:ext cx="4490357" cy="117021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C625293-E3C5-46C2-91DA-BF3A34C55DDC}" type="TxLink">
            <a:rPr lang="en-US" sz="5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Campinas</a:t>
          </a:fld>
          <a:endParaRPr lang="pt-BR" sz="4800"/>
        </a:p>
      </xdr:txBody>
    </xdr:sp>
    <xdr:clientData/>
  </xdr:twoCellAnchor>
  <xdr:twoCellAnchor>
    <xdr:from>
      <xdr:col>13</xdr:col>
      <xdr:colOff>353416</xdr:colOff>
      <xdr:row>6</xdr:row>
      <xdr:rowOff>105642</xdr:rowOff>
    </xdr:from>
    <xdr:to>
      <xdr:col>19</xdr:col>
      <xdr:colOff>157473</xdr:colOff>
      <xdr:row>12</xdr:row>
      <xdr:rowOff>155122</xdr:rowOff>
    </xdr:to>
    <xdr:sp macro="" textlink="$B$3">
      <xdr:nvSpPr>
        <xdr:cNvPr id="9" name="Retângulo: Cantos Arredondados 8">
          <a:extLst>
            <a:ext uri="{FF2B5EF4-FFF2-40B4-BE49-F238E27FC236}">
              <a16:creationId xmlns:a16="http://schemas.microsoft.com/office/drawing/2014/main" id="{1475E2F4-404C-4DC5-A2A0-697142AE648A}"/>
            </a:ext>
          </a:extLst>
        </xdr:cNvPr>
        <xdr:cNvSpPr/>
      </xdr:nvSpPr>
      <xdr:spPr>
        <a:xfrm>
          <a:off x="10138189" y="1352551"/>
          <a:ext cx="3856511" cy="11924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FC283C9A-A71F-49BF-9F7A-81723ACA723F}" type="TxLink">
            <a:rPr lang="en-US" sz="3600" b="1" i="0" u="none" strike="noStrike">
              <a:solidFill>
                <a:srgbClr val="000000"/>
              </a:solidFill>
              <a:latin typeface="Calibri"/>
              <a:cs typeface="Calibri"/>
            </a:rPr>
            <a:t>Celular</a:t>
          </a:fld>
          <a:endParaRPr lang="pt-BR" sz="11500" b="1"/>
        </a:p>
      </xdr:txBody>
    </xdr:sp>
    <xdr:clientData/>
  </xdr:twoCellAnchor>
  <xdr:twoCellAnchor>
    <xdr:from>
      <xdr:col>13</xdr:col>
      <xdr:colOff>353416</xdr:colOff>
      <xdr:row>13</xdr:row>
      <xdr:rowOff>188770</xdr:rowOff>
    </xdr:from>
    <xdr:to>
      <xdr:col>19</xdr:col>
      <xdr:colOff>157473</xdr:colOff>
      <xdr:row>20</xdr:row>
      <xdr:rowOff>47750</xdr:rowOff>
    </xdr:to>
    <xdr:sp macro="" textlink="$B$4">
      <xdr:nvSpPr>
        <xdr:cNvPr id="10" name="Retângulo: Cantos Arredondados 9">
          <a:extLst>
            <a:ext uri="{FF2B5EF4-FFF2-40B4-BE49-F238E27FC236}">
              <a16:creationId xmlns:a16="http://schemas.microsoft.com/office/drawing/2014/main" id="{E9C82444-2BBD-42D2-9166-1ADEB01D3270}"/>
            </a:ext>
          </a:extLst>
        </xdr:cNvPr>
        <xdr:cNvSpPr/>
      </xdr:nvSpPr>
      <xdr:spPr>
        <a:xfrm>
          <a:off x="10138189" y="2769179"/>
          <a:ext cx="3856511" cy="11924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05CF9A70-B2BC-482F-B342-CE059406A7C9}" type="TxLink">
            <a:rPr lang="en-US" sz="3600" b="1" i="0" u="none" strike="noStrike">
              <a:solidFill>
                <a:srgbClr val="000000"/>
              </a:solidFill>
              <a:latin typeface="Calibri"/>
              <a:cs typeface="Calibri"/>
            </a:rPr>
            <a:t>iPad</a:t>
          </a:fld>
          <a:endParaRPr lang="pt-BR" sz="11500" b="1"/>
        </a:p>
      </xdr:txBody>
    </xdr:sp>
    <xdr:clientData/>
  </xdr:twoCellAnchor>
  <xdr:twoCellAnchor>
    <xdr:from>
      <xdr:col>13</xdr:col>
      <xdr:colOff>353416</xdr:colOff>
      <xdr:row>21</xdr:row>
      <xdr:rowOff>64080</xdr:rowOff>
    </xdr:from>
    <xdr:to>
      <xdr:col>19</xdr:col>
      <xdr:colOff>157473</xdr:colOff>
      <xdr:row>27</xdr:row>
      <xdr:rowOff>113560</xdr:rowOff>
    </xdr:to>
    <xdr:sp macro="" textlink="$B$5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BFC8F4F-F966-4674-9CF9-0DA013A4A90E}"/>
            </a:ext>
          </a:extLst>
        </xdr:cNvPr>
        <xdr:cNvSpPr/>
      </xdr:nvSpPr>
      <xdr:spPr>
        <a:xfrm>
          <a:off x="10138189" y="4168489"/>
          <a:ext cx="3856511" cy="11924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D2996472-D097-4C1E-BD4E-6D9E2944995F}" type="TxLink">
            <a:rPr lang="en-US" sz="3600" b="1" i="0" u="none" strike="noStrike">
              <a:solidFill>
                <a:srgbClr val="000000"/>
              </a:solidFill>
              <a:latin typeface="Calibri"/>
              <a:cs typeface="Calibri"/>
            </a:rPr>
            <a:t>Tablet</a:t>
          </a:fld>
          <a:endParaRPr lang="pt-BR" sz="11500" b="1"/>
        </a:p>
      </xdr:txBody>
    </xdr:sp>
    <xdr:clientData/>
  </xdr:twoCellAnchor>
  <xdr:twoCellAnchor>
    <xdr:from>
      <xdr:col>13</xdr:col>
      <xdr:colOff>353416</xdr:colOff>
      <xdr:row>28</xdr:row>
      <xdr:rowOff>112571</xdr:rowOff>
    </xdr:from>
    <xdr:to>
      <xdr:col>19</xdr:col>
      <xdr:colOff>157473</xdr:colOff>
      <xdr:row>34</xdr:row>
      <xdr:rowOff>162051</xdr:rowOff>
    </xdr:to>
    <xdr:sp macro="" textlink="$B$6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875009F-F17E-4D97-91D8-6FC04C5BC643}"/>
            </a:ext>
          </a:extLst>
        </xdr:cNvPr>
        <xdr:cNvSpPr/>
      </xdr:nvSpPr>
      <xdr:spPr>
        <a:xfrm>
          <a:off x="10138189" y="5550480"/>
          <a:ext cx="3856511" cy="11924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BA4859B4-8138-49C7-A033-7AC0AA2A1412}" type="TxLink">
            <a:rPr lang="en-US" sz="3600" b="1" i="0" u="none" strike="noStrike">
              <a:solidFill>
                <a:srgbClr val="000000"/>
              </a:solidFill>
              <a:latin typeface="Calibri"/>
              <a:cs typeface="Calibri"/>
            </a:rPr>
            <a:t>TV</a:t>
          </a:fld>
          <a:endParaRPr lang="pt-BR" sz="11500" b="1"/>
        </a:p>
      </xdr:txBody>
    </xdr:sp>
    <xdr:clientData/>
  </xdr:twoCellAnchor>
  <xdr:twoCellAnchor>
    <xdr:from>
      <xdr:col>14</xdr:col>
      <xdr:colOff>36246</xdr:colOff>
      <xdr:row>10</xdr:row>
      <xdr:rowOff>34636</xdr:rowOff>
    </xdr:from>
    <xdr:to>
      <xdr:col>18</xdr:col>
      <xdr:colOff>474642</xdr:colOff>
      <xdr:row>12</xdr:row>
      <xdr:rowOff>86590</xdr:rowOff>
    </xdr:to>
    <xdr:sp macro="" textlink="$F$3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8D09C6B-9868-42F3-AE37-284FB6903657}"/>
            </a:ext>
          </a:extLst>
        </xdr:cNvPr>
        <xdr:cNvSpPr/>
      </xdr:nvSpPr>
      <xdr:spPr>
        <a:xfrm>
          <a:off x="10496428" y="2043545"/>
          <a:ext cx="3140032" cy="432954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6A84C33-E3F3-4006-88F8-FF8D603D8BE2}" type="TxLink">
            <a:rPr lang="en-US" sz="2400" b="0" i="0" u="none" strike="noStrike">
              <a:solidFill>
                <a:srgbClr val="000000"/>
              </a:solidFill>
              <a:latin typeface="Calibri"/>
              <a:cs typeface="Calibri"/>
            </a:rPr>
            <a:t>2932</a:t>
          </a:fld>
          <a:endParaRPr lang="pt-BR" sz="5400"/>
        </a:p>
      </xdr:txBody>
    </xdr:sp>
    <xdr:clientData/>
  </xdr:twoCellAnchor>
  <xdr:twoCellAnchor>
    <xdr:from>
      <xdr:col>14</xdr:col>
      <xdr:colOff>31484</xdr:colOff>
      <xdr:row>17</xdr:row>
      <xdr:rowOff>117763</xdr:rowOff>
    </xdr:from>
    <xdr:to>
      <xdr:col>18</xdr:col>
      <xdr:colOff>479405</xdr:colOff>
      <xdr:row>19</xdr:row>
      <xdr:rowOff>169717</xdr:rowOff>
    </xdr:to>
    <xdr:sp macro="" textlink="$F$4">
      <xdr:nvSpPr>
        <xdr:cNvPr id="14" name="Retângulo: Cantos Arredondados 13">
          <a:extLst>
            <a:ext uri="{FF2B5EF4-FFF2-40B4-BE49-F238E27FC236}">
              <a16:creationId xmlns:a16="http://schemas.microsoft.com/office/drawing/2014/main" id="{CD5E30CA-8B0E-434B-B9A2-50E57C16DBF0}"/>
            </a:ext>
          </a:extLst>
        </xdr:cNvPr>
        <xdr:cNvSpPr/>
      </xdr:nvSpPr>
      <xdr:spPr>
        <a:xfrm>
          <a:off x="10491666" y="3460172"/>
          <a:ext cx="3149557" cy="432954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A29F1A0-C2F3-482C-9C3F-0330EC6C724F}" type="TxLink">
            <a:rPr lang="en-US" sz="2400" b="0" i="0" u="none" strike="noStrike">
              <a:solidFill>
                <a:srgbClr val="000000"/>
              </a:solidFill>
              <a:latin typeface="Calibri"/>
              <a:cs typeface="Calibri"/>
            </a:rPr>
            <a:t>3485</a:t>
          </a:fld>
          <a:endParaRPr lang="pt-BR" sz="8800"/>
        </a:p>
      </xdr:txBody>
    </xdr:sp>
    <xdr:clientData/>
  </xdr:twoCellAnchor>
  <xdr:twoCellAnchor>
    <xdr:from>
      <xdr:col>14</xdr:col>
      <xdr:colOff>26721</xdr:colOff>
      <xdr:row>24</xdr:row>
      <xdr:rowOff>187037</xdr:rowOff>
    </xdr:from>
    <xdr:to>
      <xdr:col>18</xdr:col>
      <xdr:colOff>484167</xdr:colOff>
      <xdr:row>27</xdr:row>
      <xdr:rowOff>48491</xdr:rowOff>
    </xdr:to>
    <xdr:sp macro="" textlink="$F$5">
      <xdr:nvSpPr>
        <xdr:cNvPr id="15" name="Retângulo: Cantos Arredondados 14">
          <a:extLst>
            <a:ext uri="{FF2B5EF4-FFF2-40B4-BE49-F238E27FC236}">
              <a16:creationId xmlns:a16="http://schemas.microsoft.com/office/drawing/2014/main" id="{FC82CB68-2912-415E-B4EA-7277B3A082E7}"/>
            </a:ext>
          </a:extLst>
        </xdr:cNvPr>
        <xdr:cNvSpPr/>
      </xdr:nvSpPr>
      <xdr:spPr>
        <a:xfrm>
          <a:off x="10486903" y="4862946"/>
          <a:ext cx="3159082" cy="432954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0CB34A1-53A8-4E1E-8F69-5D0D571ADF96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t>1397</a:t>
          </a:fld>
          <a:endParaRPr lang="pt-BR" sz="9600"/>
        </a:p>
      </xdr:txBody>
    </xdr:sp>
    <xdr:clientData/>
  </xdr:twoCellAnchor>
  <xdr:twoCellAnchor>
    <xdr:from>
      <xdr:col>14</xdr:col>
      <xdr:colOff>21959</xdr:colOff>
      <xdr:row>32</xdr:row>
      <xdr:rowOff>31173</xdr:rowOff>
    </xdr:from>
    <xdr:to>
      <xdr:col>18</xdr:col>
      <xdr:colOff>488930</xdr:colOff>
      <xdr:row>34</xdr:row>
      <xdr:rowOff>83127</xdr:rowOff>
    </xdr:to>
    <xdr:sp macro="" textlink="$F$6">
      <xdr:nvSpPr>
        <xdr:cNvPr id="16" name="Retângulo: Cantos Arredondados 15">
          <a:extLst>
            <a:ext uri="{FF2B5EF4-FFF2-40B4-BE49-F238E27FC236}">
              <a16:creationId xmlns:a16="http://schemas.microsoft.com/office/drawing/2014/main" id="{47352766-647A-454C-890F-AC9730A10F78}"/>
            </a:ext>
          </a:extLst>
        </xdr:cNvPr>
        <xdr:cNvSpPr/>
      </xdr:nvSpPr>
      <xdr:spPr>
        <a:xfrm>
          <a:off x="10482141" y="6231082"/>
          <a:ext cx="3168607" cy="432954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CAAB714-84E2-4387-9545-F80834129438}" type="TxLink">
            <a:rPr lang="en-US" sz="2400" b="0" i="0" u="none" strike="noStrike">
              <a:solidFill>
                <a:srgbClr val="000000"/>
              </a:solidFill>
              <a:latin typeface="Calibri"/>
              <a:cs typeface="Calibri"/>
            </a:rPr>
            <a:t>4535</a:t>
          </a:fld>
          <a:endParaRPr lang="pt-BR" sz="88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A1:L18"/>
  <sheetViews>
    <sheetView zoomScaleNormal="100" workbookViewId="0">
      <selection activeCell="M13" sqref="M13"/>
    </sheetView>
  </sheetViews>
  <sheetFormatPr defaultRowHeight="15" x14ac:dyDescent="0.25"/>
  <cols>
    <col min="1" max="1" width="14.28515625" bestFit="1" customWidth="1"/>
    <col min="2" max="3" width="12.140625" style="1" bestFit="1" customWidth="1"/>
    <col min="4" max="4" width="11.5703125" bestFit="1" customWidth="1"/>
    <col min="5" max="5" width="49.7109375" bestFit="1" customWidth="1"/>
    <col min="6" max="9" width="5.42578125" customWidth="1"/>
    <col min="10" max="10" width="5.5703125" customWidth="1"/>
    <col min="11" max="11" width="3.28515625" customWidth="1"/>
    <col min="12" max="12" width="6" bestFit="1" customWidth="1"/>
  </cols>
  <sheetData>
    <row r="1" spans="1:12" ht="26.25" x14ac:dyDescent="0.4">
      <c r="A1" s="69" t="s">
        <v>28</v>
      </c>
      <c r="B1" s="69"/>
      <c r="C1" s="69"/>
      <c r="D1" s="69"/>
      <c r="E1" s="43">
        <v>1</v>
      </c>
      <c r="J1" s="4">
        <v>1</v>
      </c>
      <c r="K1" s="41" t="s">
        <v>55</v>
      </c>
      <c r="L1" s="4" t="s">
        <v>3</v>
      </c>
    </row>
    <row r="2" spans="1:12" x14ac:dyDescent="0.25">
      <c r="A2" s="70"/>
      <c r="B2" s="70"/>
      <c r="C2" s="70"/>
      <c r="D2" s="70"/>
      <c r="J2" s="4">
        <v>2</v>
      </c>
      <c r="K2" s="42" t="s">
        <v>60</v>
      </c>
      <c r="L2" s="4" t="s">
        <v>5</v>
      </c>
    </row>
    <row r="3" spans="1:12" ht="37.5" x14ac:dyDescent="0.25">
      <c r="A3" s="10" t="s">
        <v>0</v>
      </c>
      <c r="B3" s="11" t="s">
        <v>25</v>
      </c>
      <c r="C3" s="11" t="s">
        <v>26</v>
      </c>
      <c r="D3" s="10" t="s">
        <v>27</v>
      </c>
      <c r="E3" s="10" t="s">
        <v>9</v>
      </c>
      <c r="J3" s="4">
        <v>3</v>
      </c>
      <c r="K3" s="41" t="s">
        <v>61</v>
      </c>
      <c r="L3" s="4" t="s">
        <v>4</v>
      </c>
    </row>
    <row r="4" spans="1:12" ht="15.75" x14ac:dyDescent="0.25">
      <c r="A4" s="4" t="s">
        <v>3</v>
      </c>
      <c r="B4" s="16">
        <v>0.22500000000000001</v>
      </c>
      <c r="C4" s="16">
        <v>0.14899999999999999</v>
      </c>
      <c r="D4" s="6">
        <v>20</v>
      </c>
      <c r="E4" s="25" t="str">
        <f>IF($E$1=$J$1,REPT($K$1,D4),IF($E$1=$J$2,REPT($K$2,D4),IF($E$1=$J$3,REPT($K$3,D4),IF($E$1=$J$4,REPT($K$4,D4),""))))</f>
        <v>llllllllllllllllllll</v>
      </c>
      <c r="J4" s="4">
        <v>4</v>
      </c>
      <c r="K4" s="41" t="s">
        <v>59</v>
      </c>
      <c r="L4" s="4" t="s">
        <v>2</v>
      </c>
    </row>
    <row r="5" spans="1:12" ht="15.75" x14ac:dyDescent="0.25">
      <c r="A5" s="4" t="s">
        <v>5</v>
      </c>
      <c r="B5" s="16">
        <v>0.16500000000000001</v>
      </c>
      <c r="C5" s="16">
        <v>0.35499999999999998</v>
      </c>
      <c r="D5" s="6">
        <v>55</v>
      </c>
      <c r="E5" s="25" t="str">
        <f t="shared" ref="E5:E11" si="0">IF($E$1=$J$1,REPT($K$1,D5),IF($E$1=$J$2,REPT($K$2,D5),IF($E$1=$J$3,REPT($K$3,D5),IF($E$1=$J$4,REPT($K$4,D5),""))))</f>
        <v>lllllllllllllllllllllllllllllllllllllllllllllllllllllll</v>
      </c>
      <c r="G5" t="s">
        <v>67</v>
      </c>
    </row>
    <row r="6" spans="1:12" ht="15.75" x14ac:dyDescent="0.25">
      <c r="A6" s="4" t="s">
        <v>4</v>
      </c>
      <c r="B6" s="16">
        <v>0.23</v>
      </c>
      <c r="C6" s="16">
        <v>0.28699999999999998</v>
      </c>
      <c r="D6" s="6">
        <v>12</v>
      </c>
      <c r="E6" s="25" t="str">
        <f t="shared" si="0"/>
        <v>llllllllllll</v>
      </c>
    </row>
    <row r="7" spans="1:12" ht="15.75" x14ac:dyDescent="0.25">
      <c r="A7" s="4" t="s">
        <v>2</v>
      </c>
      <c r="B7" s="16">
        <v>0.38</v>
      </c>
      <c r="C7" s="16">
        <v>0.20899999999999999</v>
      </c>
      <c r="D7" s="6">
        <v>51</v>
      </c>
      <c r="E7" s="25" t="str">
        <f t="shared" si="0"/>
        <v>lllllllllllllllllllllllllllllllllllllllllllllllllll</v>
      </c>
    </row>
    <row r="8" spans="1:12" ht="15.75" x14ac:dyDescent="0.25">
      <c r="A8" s="4" t="s">
        <v>3</v>
      </c>
      <c r="B8" s="16">
        <v>0.22500000000000001</v>
      </c>
      <c r="C8" s="16">
        <v>0.14899999999999999</v>
      </c>
      <c r="D8" s="6">
        <v>2</v>
      </c>
      <c r="E8" s="25" t="str">
        <f t="shared" si="0"/>
        <v>ll</v>
      </c>
    </row>
    <row r="9" spans="1:12" ht="15.75" x14ac:dyDescent="0.25">
      <c r="A9" s="4" t="s">
        <v>5</v>
      </c>
      <c r="B9" s="16">
        <v>0.16500000000000001</v>
      </c>
      <c r="C9" s="16">
        <v>0.35499999999999998</v>
      </c>
      <c r="D9" s="6">
        <v>10</v>
      </c>
      <c r="E9" s="25" t="str">
        <f t="shared" si="0"/>
        <v>llllllllll</v>
      </c>
    </row>
    <row r="10" spans="1:12" ht="15.75" x14ac:dyDescent="0.25">
      <c r="A10" s="4" t="s">
        <v>4</v>
      </c>
      <c r="B10" s="16">
        <v>0.23</v>
      </c>
      <c r="C10" s="16">
        <v>0.28699999999999998</v>
      </c>
      <c r="D10" s="6">
        <v>1</v>
      </c>
      <c r="E10" s="25" t="str">
        <f t="shared" si="0"/>
        <v>l</v>
      </c>
    </row>
    <row r="11" spans="1:12" ht="15.75" x14ac:dyDescent="0.25">
      <c r="A11" s="4" t="s">
        <v>2</v>
      </c>
      <c r="B11" s="16">
        <v>0.38</v>
      </c>
      <c r="C11" s="16">
        <v>0.20899999999999999</v>
      </c>
      <c r="D11" s="6">
        <v>5</v>
      </c>
      <c r="E11" s="25" t="str">
        <f t="shared" si="0"/>
        <v>lllll</v>
      </c>
    </row>
    <row r="15" spans="1:12" x14ac:dyDescent="0.25">
      <c r="A15" s="24"/>
    </row>
    <row r="16" spans="1:12" x14ac:dyDescent="0.25">
      <c r="A16" s="24"/>
    </row>
    <row r="17" spans="1:1" x14ac:dyDescent="0.25">
      <c r="A17" s="24"/>
    </row>
    <row r="18" spans="1:1" x14ac:dyDescent="0.25">
      <c r="A18" s="24"/>
    </row>
  </sheetData>
  <mergeCells count="2">
    <mergeCell ref="A1:D1"/>
    <mergeCell ref="A2:D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4</xdr:col>
                    <xdr:colOff>19050</xdr:colOff>
                    <xdr:row>0</xdr:row>
                    <xdr:rowOff>28575</xdr:rowOff>
                  </from>
                  <to>
                    <xdr:col>4</xdr:col>
                    <xdr:colOff>2171700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rgb="FFFFC000"/>
  </sheetPr>
  <dimension ref="A1:M22"/>
  <sheetViews>
    <sheetView topLeftCell="G1" zoomScale="85" zoomScaleNormal="85" workbookViewId="0">
      <selection activeCell="T26" sqref="T26"/>
    </sheetView>
  </sheetViews>
  <sheetFormatPr defaultRowHeight="15" x14ac:dyDescent="0.25"/>
  <cols>
    <col min="1" max="1" width="13.7109375" bestFit="1" customWidth="1"/>
    <col min="2" max="2" width="12.28515625" style="1" bestFit="1" customWidth="1"/>
    <col min="3" max="3" width="14.42578125" style="1" bestFit="1" customWidth="1"/>
    <col min="4" max="4" width="14.42578125" bestFit="1" customWidth="1"/>
    <col min="5" max="5" width="12.28515625" style="1" bestFit="1" customWidth="1"/>
    <col min="6" max="6" width="14.42578125" bestFit="1" customWidth="1"/>
    <col min="7" max="7" width="5.140625" customWidth="1"/>
    <col min="8" max="8" width="14.28515625" bestFit="1" customWidth="1"/>
    <col min="9" max="9" width="14.42578125" bestFit="1" customWidth="1"/>
    <col min="10" max="10" width="14.28515625" bestFit="1" customWidth="1"/>
  </cols>
  <sheetData>
    <row r="1" spans="1:13" ht="26.25" x14ac:dyDescent="0.4">
      <c r="A1" s="69" t="s">
        <v>8</v>
      </c>
      <c r="B1" s="69"/>
      <c r="C1" s="69"/>
      <c r="D1" s="69"/>
      <c r="E1" s="69"/>
      <c r="F1" s="69"/>
      <c r="H1" s="28"/>
      <c r="I1" s="64">
        <v>3</v>
      </c>
      <c r="J1" s="18" t="str">
        <f>CHOOSE(I1,H4,H5,H6,H7)</f>
        <v>Tablet</v>
      </c>
    </row>
    <row r="2" spans="1:13" x14ac:dyDescent="0.25">
      <c r="A2" s="71"/>
      <c r="B2" s="71"/>
      <c r="C2" s="71"/>
      <c r="D2" s="71"/>
      <c r="E2" s="71"/>
      <c r="F2" s="71"/>
    </row>
    <row r="3" spans="1:13" s="19" customFormat="1" ht="56.25" x14ac:dyDescent="0.25">
      <c r="A3" s="10" t="s">
        <v>0</v>
      </c>
      <c r="B3" s="11" t="s">
        <v>7</v>
      </c>
      <c r="C3" s="11" t="s">
        <v>1</v>
      </c>
      <c r="D3" s="10" t="s">
        <v>6</v>
      </c>
      <c r="E3" s="11" t="s">
        <v>11</v>
      </c>
      <c r="F3" s="10" t="s">
        <v>12</v>
      </c>
      <c r="H3" s="10" t="s">
        <v>0</v>
      </c>
      <c r="I3" s="11" t="s">
        <v>1</v>
      </c>
      <c r="J3" s="10" t="s">
        <v>12</v>
      </c>
      <c r="M3" s="19" t="s">
        <v>67</v>
      </c>
    </row>
    <row r="4" spans="1:13" x14ac:dyDescent="0.25">
      <c r="A4" s="4" t="s">
        <v>2</v>
      </c>
      <c r="B4" s="5">
        <v>1200</v>
      </c>
      <c r="C4" s="6">
        <v>9</v>
      </c>
      <c r="D4" s="5">
        <f t="shared" ref="D4:D17" si="0">B4*C4</f>
        <v>10800</v>
      </c>
      <c r="E4" s="5">
        <f t="shared" ref="E4:E17" si="1">IF(B4&gt;=$B$20,B4+B4*$B$21,B4+B4*$B$22)</f>
        <v>1224</v>
      </c>
      <c r="F4" s="5">
        <f>E4*C4</f>
        <v>11016</v>
      </c>
      <c r="H4" s="4" t="s">
        <v>2</v>
      </c>
      <c r="I4" s="6">
        <f>IF(H4=$J$1,SUMIF($A$4:$A$17,H4,$C$4:$C$17),0)</f>
        <v>0</v>
      </c>
      <c r="J4" s="15">
        <f>IF(H4=$J$1,SUMIF($A$4:$A$17,H4,$F$4:$F$17),0)</f>
        <v>0</v>
      </c>
    </row>
    <row r="5" spans="1:13" x14ac:dyDescent="0.25">
      <c r="A5" s="4" t="s">
        <v>3</v>
      </c>
      <c r="B5" s="5">
        <v>2200</v>
      </c>
      <c r="C5" s="6">
        <v>15</v>
      </c>
      <c r="D5" s="5">
        <f t="shared" si="0"/>
        <v>33000</v>
      </c>
      <c r="E5" s="5">
        <f t="shared" si="1"/>
        <v>2244</v>
      </c>
      <c r="F5" s="5">
        <f t="shared" ref="F5:F17" si="2">E5*C5</f>
        <v>33660</v>
      </c>
      <c r="H5" s="4" t="s">
        <v>3</v>
      </c>
      <c r="I5" s="6">
        <f t="shared" ref="I5:I7" si="3">IF(H5=$J$1,SUMIF($A$4:$A$17,H5,$C$4:$C$17),0)</f>
        <v>0</v>
      </c>
      <c r="J5" s="15">
        <f t="shared" ref="J5:J7" si="4">IF(H5=$J$1,SUMIF($A$4:$A$17,H5,$F$4:$F$17),0)</f>
        <v>0</v>
      </c>
    </row>
    <row r="6" spans="1:13" x14ac:dyDescent="0.25">
      <c r="A6" s="4" t="s">
        <v>4</v>
      </c>
      <c r="B6" s="5">
        <v>1400</v>
      </c>
      <c r="C6" s="6">
        <v>101</v>
      </c>
      <c r="D6" s="5">
        <f t="shared" si="0"/>
        <v>141400</v>
      </c>
      <c r="E6" s="5">
        <f t="shared" si="1"/>
        <v>1428</v>
      </c>
      <c r="F6" s="5">
        <f t="shared" si="2"/>
        <v>144228</v>
      </c>
      <c r="H6" s="4" t="s">
        <v>4</v>
      </c>
      <c r="I6" s="6">
        <f t="shared" si="3"/>
        <v>214</v>
      </c>
      <c r="J6" s="15">
        <f t="shared" si="4"/>
        <v>305592</v>
      </c>
    </row>
    <row r="7" spans="1:13" x14ac:dyDescent="0.25">
      <c r="A7" s="4" t="s">
        <v>5</v>
      </c>
      <c r="B7" s="5">
        <v>900</v>
      </c>
      <c r="C7" s="6">
        <v>31</v>
      </c>
      <c r="D7" s="5">
        <f t="shared" si="0"/>
        <v>27900</v>
      </c>
      <c r="E7" s="5">
        <f t="shared" si="1"/>
        <v>907.2</v>
      </c>
      <c r="F7" s="5">
        <f t="shared" si="2"/>
        <v>28123.200000000001</v>
      </c>
      <c r="H7" s="4" t="s">
        <v>5</v>
      </c>
      <c r="I7" s="6">
        <f t="shared" si="3"/>
        <v>0</v>
      </c>
      <c r="J7" s="15">
        <f t="shared" si="4"/>
        <v>0</v>
      </c>
    </row>
    <row r="8" spans="1:13" x14ac:dyDescent="0.25">
      <c r="A8" s="4" t="s">
        <v>2</v>
      </c>
      <c r="B8" s="5">
        <v>1200</v>
      </c>
      <c r="C8" s="6">
        <v>8</v>
      </c>
      <c r="D8" s="5">
        <f t="shared" si="0"/>
        <v>9600</v>
      </c>
      <c r="E8" s="5">
        <f t="shared" si="1"/>
        <v>1224</v>
      </c>
      <c r="F8" s="5">
        <f t="shared" si="2"/>
        <v>9792</v>
      </c>
      <c r="H8" s="65" t="s">
        <v>69</v>
      </c>
      <c r="I8" s="66">
        <f>SUM(C4:C17)</f>
        <v>753</v>
      </c>
      <c r="J8" s="67">
        <f>SUM(F4:F17)</f>
        <v>1103906.3999999999</v>
      </c>
    </row>
    <row r="9" spans="1:13" x14ac:dyDescent="0.25">
      <c r="A9" s="4" t="s">
        <v>4</v>
      </c>
      <c r="B9" s="5">
        <v>1400</v>
      </c>
      <c r="C9" s="6">
        <v>101</v>
      </c>
      <c r="D9" s="5">
        <f>B9*C9</f>
        <v>141400</v>
      </c>
      <c r="E9" s="5">
        <f t="shared" si="1"/>
        <v>1428</v>
      </c>
      <c r="F9" s="5">
        <f>E9*C9</f>
        <v>144228</v>
      </c>
      <c r="H9" t="s">
        <v>38</v>
      </c>
      <c r="I9" t="s">
        <v>1</v>
      </c>
      <c r="J9" t="s">
        <v>68</v>
      </c>
    </row>
    <row r="10" spans="1:13" x14ac:dyDescent="0.25">
      <c r="A10" s="4" t="s">
        <v>5</v>
      </c>
      <c r="B10" s="5">
        <v>1200</v>
      </c>
      <c r="C10" s="6">
        <v>31</v>
      </c>
      <c r="D10" s="5">
        <f>B10*C10</f>
        <v>37200</v>
      </c>
      <c r="E10" s="5">
        <f t="shared" si="1"/>
        <v>1224</v>
      </c>
      <c r="F10" s="5">
        <f>E10*C10</f>
        <v>37944</v>
      </c>
      <c r="H10" t="str">
        <f>J1</f>
        <v>Tablet</v>
      </c>
      <c r="I10">
        <f>SUMIF($A$4:$A$17,H10,$C$4:$C$17)</f>
        <v>214</v>
      </c>
      <c r="J10" s="7">
        <f>SUMIF($A$4:$A$17,H10,$F$4:$F$17)</f>
        <v>305592</v>
      </c>
    </row>
    <row r="11" spans="1:13" x14ac:dyDescent="0.25">
      <c r="A11" s="4" t="s">
        <v>2</v>
      </c>
      <c r="B11" s="5">
        <v>2000</v>
      </c>
      <c r="C11" s="6">
        <v>9</v>
      </c>
      <c r="D11" s="5">
        <f>B11*C11</f>
        <v>18000</v>
      </c>
      <c r="E11" s="5">
        <f t="shared" si="1"/>
        <v>2040</v>
      </c>
      <c r="F11" s="5">
        <f>E11*C11</f>
        <v>18360</v>
      </c>
      <c r="H11" t="str">
        <f>H8</f>
        <v>Total:</v>
      </c>
      <c r="I11">
        <f>I8</f>
        <v>753</v>
      </c>
      <c r="J11">
        <f>J8</f>
        <v>1103906.3999999999</v>
      </c>
    </row>
    <row r="12" spans="1:13" x14ac:dyDescent="0.25">
      <c r="A12" s="4" t="s">
        <v>5</v>
      </c>
      <c r="B12" s="5">
        <v>900</v>
      </c>
      <c r="C12" s="6">
        <v>31</v>
      </c>
      <c r="D12" s="5">
        <f>B12*C12</f>
        <v>27900</v>
      </c>
      <c r="E12" s="5">
        <f t="shared" si="1"/>
        <v>907.2</v>
      </c>
      <c r="F12" s="5">
        <f>E12*C12</f>
        <v>28123.200000000001</v>
      </c>
    </row>
    <row r="13" spans="1:13" x14ac:dyDescent="0.25">
      <c r="A13" s="4" t="s">
        <v>3</v>
      </c>
      <c r="B13" s="5">
        <v>2200</v>
      </c>
      <c r="C13" s="6">
        <v>120</v>
      </c>
      <c r="D13" s="5">
        <f t="shared" si="0"/>
        <v>264000</v>
      </c>
      <c r="E13" s="5">
        <f t="shared" si="1"/>
        <v>2244</v>
      </c>
      <c r="F13" s="5">
        <f t="shared" si="2"/>
        <v>269280</v>
      </c>
    </row>
    <row r="14" spans="1:13" x14ac:dyDescent="0.25">
      <c r="A14" s="4" t="s">
        <v>4</v>
      </c>
      <c r="B14" s="5">
        <v>1400</v>
      </c>
      <c r="C14" s="6">
        <v>12</v>
      </c>
      <c r="D14" s="5">
        <f t="shared" si="0"/>
        <v>16800</v>
      </c>
      <c r="E14" s="5">
        <f t="shared" si="1"/>
        <v>1428</v>
      </c>
      <c r="F14" s="5">
        <f t="shared" si="2"/>
        <v>17136</v>
      </c>
    </row>
    <row r="15" spans="1:13" x14ac:dyDescent="0.25">
      <c r="A15" s="4" t="s">
        <v>5</v>
      </c>
      <c r="B15" s="5">
        <v>900</v>
      </c>
      <c r="C15" s="6">
        <v>55</v>
      </c>
      <c r="D15" s="5">
        <f t="shared" si="0"/>
        <v>49500</v>
      </c>
      <c r="E15" s="5">
        <f t="shared" si="1"/>
        <v>907.2</v>
      </c>
      <c r="F15" s="5">
        <f t="shared" si="2"/>
        <v>49896</v>
      </c>
    </row>
    <row r="16" spans="1:13" x14ac:dyDescent="0.25">
      <c r="A16" s="4" t="s">
        <v>2</v>
      </c>
      <c r="B16" s="5">
        <v>1200</v>
      </c>
      <c r="C16" s="6">
        <v>200</v>
      </c>
      <c r="D16" s="5">
        <f t="shared" si="0"/>
        <v>240000</v>
      </c>
      <c r="E16" s="5">
        <f t="shared" si="1"/>
        <v>1224</v>
      </c>
      <c r="F16" s="5">
        <f t="shared" si="2"/>
        <v>244800</v>
      </c>
      <c r="H16" s="7"/>
    </row>
    <row r="17" spans="1:9" x14ac:dyDescent="0.25">
      <c r="A17" s="4" t="s">
        <v>3</v>
      </c>
      <c r="B17" s="5">
        <v>2200</v>
      </c>
      <c r="C17" s="6">
        <v>30</v>
      </c>
      <c r="D17" s="5">
        <f t="shared" si="0"/>
        <v>66000</v>
      </c>
      <c r="E17" s="5">
        <f t="shared" si="1"/>
        <v>2244</v>
      </c>
      <c r="F17" s="5">
        <f t="shared" si="2"/>
        <v>67320</v>
      </c>
      <c r="I17" s="7"/>
    </row>
    <row r="19" spans="1:9" x14ac:dyDescent="0.25">
      <c r="A19" s="2" t="s">
        <v>1</v>
      </c>
      <c r="B19" s="3" t="s">
        <v>10</v>
      </c>
    </row>
    <row r="20" spans="1:9" x14ac:dyDescent="0.25">
      <c r="A20" s="2">
        <v>100</v>
      </c>
      <c r="B20" s="3">
        <v>1000</v>
      </c>
    </row>
    <row r="21" spans="1:9" x14ac:dyDescent="0.25">
      <c r="A21" s="2">
        <v>50</v>
      </c>
      <c r="B21" s="13">
        <v>0.02</v>
      </c>
    </row>
    <row r="22" spans="1:9" x14ac:dyDescent="0.25">
      <c r="A22" s="2"/>
      <c r="B22" s="14">
        <v>8.0000000000000002E-3</v>
      </c>
    </row>
  </sheetData>
  <mergeCells count="2">
    <mergeCell ref="A2:F2"/>
    <mergeCell ref="A1:F1"/>
  </mergeCells>
  <conditionalFormatting sqref="E4:E8 E13:E17">
    <cfRule type="cellIs" dxfId="12" priority="5" operator="equal">
      <formula>"I"</formula>
    </cfRule>
    <cfRule type="cellIs" dxfId="11" priority="9" operator="equal">
      <formula>$A$13</formula>
    </cfRule>
  </conditionalFormatting>
  <conditionalFormatting sqref="E9:E11">
    <cfRule type="cellIs" dxfId="10" priority="3" operator="equal">
      <formula>"I"</formula>
    </cfRule>
    <cfRule type="cellIs" dxfId="9" priority="4" operator="equal">
      <formula>$A$13</formula>
    </cfRule>
  </conditionalFormatting>
  <conditionalFormatting sqref="E12">
    <cfRule type="cellIs" dxfId="8" priority="1" operator="equal">
      <formula>"I"</formula>
    </cfRule>
    <cfRule type="cellIs" dxfId="7" priority="2" operator="equal">
      <formula>$A$13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roll Bar 1">
              <controlPr defaultSize="0" autoPict="0">
                <anchor mov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3"/>
  <dimension ref="A1:M17"/>
  <sheetViews>
    <sheetView zoomScaleNormal="100" workbookViewId="0">
      <selection activeCell="G30" sqref="G30"/>
    </sheetView>
  </sheetViews>
  <sheetFormatPr defaultColWidth="10" defaultRowHeight="15" x14ac:dyDescent="0.25"/>
  <cols>
    <col min="1" max="1" width="11" bestFit="1" customWidth="1"/>
    <col min="2" max="2" width="6.28515625" bestFit="1" customWidth="1"/>
    <col min="3" max="3" width="7.85546875" bestFit="1" customWidth="1"/>
    <col min="4" max="5" width="7.42578125" style="1" bestFit="1" customWidth="1"/>
    <col min="6" max="6" width="5.28515625" customWidth="1"/>
    <col min="7" max="7" width="11" bestFit="1" customWidth="1"/>
    <col min="8" max="8" width="9.28515625" bestFit="1" customWidth="1"/>
    <col min="9" max="9" width="8.140625" bestFit="1" customWidth="1"/>
    <col min="10" max="10" width="12" bestFit="1" customWidth="1"/>
    <col min="11" max="12" width="7.85546875" customWidth="1"/>
    <col min="13" max="13" width="6.28515625" bestFit="1" customWidth="1"/>
  </cols>
  <sheetData>
    <row r="1" spans="1:13" ht="21" x14ac:dyDescent="0.25">
      <c r="A1" s="72" t="s">
        <v>16</v>
      </c>
      <c r="B1" s="72"/>
      <c r="C1" s="72"/>
      <c r="D1" s="72"/>
      <c r="E1" s="72"/>
      <c r="G1" s="47" t="s">
        <v>39</v>
      </c>
      <c r="H1" s="45">
        <v>1</v>
      </c>
      <c r="I1" s="47" t="s">
        <v>38</v>
      </c>
      <c r="J1" s="45" t="str">
        <f>CHOOSE(H1,M1,M2,M3,M4)</f>
        <v>Celular</v>
      </c>
      <c r="K1" t="str" cm="1">
        <f t="array" ref="K1">INDEX(M1:M4,H1,1)</f>
        <v>Celular</v>
      </c>
      <c r="M1" s="4" t="s">
        <v>3</v>
      </c>
    </row>
    <row r="2" spans="1:13" s="9" customFormat="1" ht="47.25" x14ac:dyDescent="0.25">
      <c r="A2" s="44" t="s">
        <v>0</v>
      </c>
      <c r="B2" s="44" t="s">
        <v>31</v>
      </c>
      <c r="C2" s="44" t="s">
        <v>17</v>
      </c>
      <c r="D2" s="44" t="s">
        <v>32</v>
      </c>
      <c r="E2" s="44" t="s">
        <v>33</v>
      </c>
      <c r="G2" s="44" t="s">
        <v>31</v>
      </c>
      <c r="H2" s="44" t="s">
        <v>34</v>
      </c>
      <c r="I2" s="44" t="s">
        <v>35</v>
      </c>
      <c r="J2" s="44" t="s">
        <v>17</v>
      </c>
      <c r="M2" s="4" t="s">
        <v>5</v>
      </c>
    </row>
    <row r="3" spans="1:13" ht="15.75" x14ac:dyDescent="0.25">
      <c r="A3" s="45" t="s">
        <v>3</v>
      </c>
      <c r="B3" s="45" t="s">
        <v>29</v>
      </c>
      <c r="C3" s="68">
        <f>SUM(D3,E3)</f>
        <v>640</v>
      </c>
      <c r="D3" s="46">
        <v>340</v>
      </c>
      <c r="E3" s="46">
        <v>300</v>
      </c>
      <c r="G3" s="45" t="s">
        <v>29</v>
      </c>
      <c r="H3" s="48">
        <f>SUMIFS(D3:D16,B3:B16,G3,A3:A16,J1)</f>
        <v>340</v>
      </c>
      <c r="I3" s="48">
        <f>SUMIFS($E$3:$E$16,A3:$A$16,$J$1,$B$3:$B$16,G3)</f>
        <v>300</v>
      </c>
      <c r="J3" s="48">
        <f>SUM(H3:I3)</f>
        <v>640</v>
      </c>
      <c r="M3" s="4" t="s">
        <v>4</v>
      </c>
    </row>
    <row r="4" spans="1:13" ht="15.75" x14ac:dyDescent="0.25">
      <c r="A4" s="45" t="s">
        <v>3</v>
      </c>
      <c r="B4" s="45" t="s">
        <v>30</v>
      </c>
      <c r="C4" s="68">
        <f t="shared" ref="C4:C16" si="0">SUM(D4,E4)</f>
        <v>1147</v>
      </c>
      <c r="D4" s="46">
        <v>890</v>
      </c>
      <c r="E4" s="46">
        <v>257</v>
      </c>
      <c r="G4" s="45" t="s">
        <v>30</v>
      </c>
      <c r="H4" s="48">
        <f>SUMIFS($D$3:D16,$A$3:A16,$J$1,$B$3:$B$16,G4)</f>
        <v>890</v>
      </c>
      <c r="I4" s="48">
        <f>SUMIFS($E$3:$E$16,$A$3:$A$16,$J$1,$B$3:$B$16,G4)</f>
        <v>257</v>
      </c>
      <c r="J4" s="48">
        <f t="shared" ref="J4:J6" si="1">SUM(H4:I4)</f>
        <v>1147</v>
      </c>
      <c r="M4" s="4" t="s">
        <v>2</v>
      </c>
    </row>
    <row r="5" spans="1:13" ht="15.75" x14ac:dyDescent="0.25">
      <c r="A5" s="45" t="s">
        <v>3</v>
      </c>
      <c r="B5" s="45" t="s">
        <v>36</v>
      </c>
      <c r="C5" s="68">
        <f t="shared" si="0"/>
        <v>539</v>
      </c>
      <c r="D5" s="46">
        <v>350</v>
      </c>
      <c r="E5" s="46">
        <v>189</v>
      </c>
      <c r="G5" s="45" t="s">
        <v>36</v>
      </c>
      <c r="H5" s="48">
        <f>SUMIFS($D$3:$D$16,$A$3:$A$16,$J$1,$B$3:$B$16,G5)</f>
        <v>350</v>
      </c>
      <c r="I5" s="48">
        <f>SUMIFS($E$3:$E$16,$A$3:$A$16,$J$1,$B$3:$B$16,G5)</f>
        <v>189</v>
      </c>
      <c r="J5" s="48">
        <f t="shared" si="1"/>
        <v>539</v>
      </c>
    </row>
    <row r="6" spans="1:13" ht="15.75" x14ac:dyDescent="0.25">
      <c r="A6" s="45" t="s">
        <v>3</v>
      </c>
      <c r="B6" s="45" t="s">
        <v>37</v>
      </c>
      <c r="C6" s="68">
        <f t="shared" si="0"/>
        <v>629</v>
      </c>
      <c r="D6" s="46">
        <v>230</v>
      </c>
      <c r="E6" s="46">
        <v>399</v>
      </c>
      <c r="G6" s="45" t="s">
        <v>37</v>
      </c>
      <c r="H6" s="48">
        <f>SUMIFS($D$3:$D$16,$A$3:$A$16,$J$1,$B$3:$B$16,G6)</f>
        <v>230</v>
      </c>
      <c r="I6" s="48">
        <f>SUMIFS($E$3:$E$16,$A$3:$A$16,$J$1,$B$3:$B$16,G6)</f>
        <v>399</v>
      </c>
      <c r="J6" s="48">
        <f t="shared" si="1"/>
        <v>629</v>
      </c>
    </row>
    <row r="7" spans="1:13" ht="15.75" x14ac:dyDescent="0.25">
      <c r="A7" s="45" t="s">
        <v>5</v>
      </c>
      <c r="B7" s="45" t="s">
        <v>29</v>
      </c>
      <c r="C7" s="68">
        <f t="shared" si="0"/>
        <v>740</v>
      </c>
      <c r="D7" s="46">
        <v>340</v>
      </c>
      <c r="E7" s="46">
        <v>400</v>
      </c>
    </row>
    <row r="8" spans="1:13" ht="15.75" x14ac:dyDescent="0.25">
      <c r="A8" s="45" t="s">
        <v>5</v>
      </c>
      <c r="B8" s="45" t="s">
        <v>30</v>
      </c>
      <c r="C8" s="68">
        <f t="shared" si="0"/>
        <v>731</v>
      </c>
      <c r="D8" s="46">
        <v>300</v>
      </c>
      <c r="E8" s="46">
        <v>431</v>
      </c>
      <c r="H8" t="s">
        <v>67</v>
      </c>
    </row>
    <row r="9" spans="1:13" ht="15.75" x14ac:dyDescent="0.25">
      <c r="A9" s="45" t="s">
        <v>4</v>
      </c>
      <c r="B9" s="45" t="s">
        <v>29</v>
      </c>
      <c r="C9" s="68">
        <f t="shared" si="0"/>
        <v>880</v>
      </c>
      <c r="D9" s="46">
        <v>457</v>
      </c>
      <c r="E9" s="46">
        <v>423</v>
      </c>
    </row>
    <row r="10" spans="1:13" ht="15.75" x14ac:dyDescent="0.25">
      <c r="A10" s="45" t="s">
        <v>4</v>
      </c>
      <c r="B10" s="45" t="s">
        <v>30</v>
      </c>
      <c r="C10" s="68">
        <f t="shared" si="0"/>
        <v>658</v>
      </c>
      <c r="D10" s="46">
        <v>290</v>
      </c>
      <c r="E10" s="46">
        <v>368</v>
      </c>
    </row>
    <row r="11" spans="1:13" ht="15.75" x14ac:dyDescent="0.25">
      <c r="A11" s="45" t="s">
        <v>4</v>
      </c>
      <c r="B11" s="45" t="s">
        <v>36</v>
      </c>
      <c r="C11" s="68">
        <f t="shared" si="0"/>
        <v>671</v>
      </c>
      <c r="D11" s="46">
        <v>350</v>
      </c>
      <c r="E11" s="46">
        <v>321</v>
      </c>
    </row>
    <row r="12" spans="1:13" ht="15.75" x14ac:dyDescent="0.25">
      <c r="A12" s="45" t="s">
        <v>4</v>
      </c>
      <c r="B12" s="45" t="s">
        <v>37</v>
      </c>
      <c r="C12" s="68">
        <f t="shared" si="0"/>
        <v>475</v>
      </c>
      <c r="D12" s="46">
        <v>199</v>
      </c>
      <c r="E12" s="46">
        <v>276</v>
      </c>
    </row>
    <row r="13" spans="1:13" ht="15.75" x14ac:dyDescent="0.25">
      <c r="A13" s="45" t="s">
        <v>2</v>
      </c>
      <c r="B13" s="45" t="s">
        <v>37</v>
      </c>
      <c r="C13" s="68">
        <f t="shared" si="0"/>
        <v>943</v>
      </c>
      <c r="D13" s="46">
        <v>400</v>
      </c>
      <c r="E13" s="46">
        <v>543</v>
      </c>
    </row>
    <row r="14" spans="1:13" ht="15.75" x14ac:dyDescent="0.25">
      <c r="A14" s="45" t="s">
        <v>2</v>
      </c>
      <c r="B14" s="45" t="s">
        <v>29</v>
      </c>
      <c r="C14" s="68">
        <f t="shared" si="0"/>
        <v>743</v>
      </c>
      <c r="D14" s="46">
        <v>200</v>
      </c>
      <c r="E14" s="46">
        <v>543</v>
      </c>
    </row>
    <row r="15" spans="1:13" ht="15.75" x14ac:dyDescent="0.25">
      <c r="A15" s="45" t="s">
        <v>2</v>
      </c>
      <c r="B15" s="45" t="s">
        <v>30</v>
      </c>
      <c r="C15" s="68">
        <f t="shared" si="0"/>
        <v>865</v>
      </c>
      <c r="D15" s="46">
        <v>600</v>
      </c>
      <c r="E15" s="46">
        <v>265</v>
      </c>
    </row>
    <row r="16" spans="1:13" ht="15.75" x14ac:dyDescent="0.25">
      <c r="A16" s="45" t="s">
        <v>2</v>
      </c>
      <c r="B16" s="45" t="s">
        <v>36</v>
      </c>
      <c r="C16" s="68">
        <f t="shared" si="0"/>
        <v>891</v>
      </c>
      <c r="D16" s="46">
        <v>420</v>
      </c>
      <c r="E16" s="46">
        <v>471</v>
      </c>
    </row>
    <row r="17" spans="4:5" x14ac:dyDescent="0.25">
      <c r="D17" s="17"/>
      <c r="E17" s="17"/>
    </row>
  </sheetData>
  <sortState xmlns:xlrd2="http://schemas.microsoft.com/office/spreadsheetml/2017/richdata2" ref="A3:E16">
    <sortCondition ref="A2"/>
  </sortState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 Bar 1">
              <controlPr defaultSize="0" autoPict="0">
                <anchor moveWithCells="1">
                  <from>
                    <xdr:col>10</xdr:col>
                    <xdr:colOff>19050</xdr:colOff>
                    <xdr:row>1</xdr:row>
                    <xdr:rowOff>9525</xdr:rowOff>
                  </from>
                  <to>
                    <xdr:col>10</xdr:col>
                    <xdr:colOff>495300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7"/>
  <sheetViews>
    <sheetView topLeftCell="E1" zoomScaleNormal="100" workbookViewId="0">
      <selection activeCell="I24" sqref="I24"/>
    </sheetView>
  </sheetViews>
  <sheetFormatPr defaultColWidth="10" defaultRowHeight="15" x14ac:dyDescent="0.25"/>
  <cols>
    <col min="1" max="1" width="11" bestFit="1" customWidth="1"/>
    <col min="2" max="2" width="6.28515625" bestFit="1" customWidth="1"/>
    <col min="3" max="4" width="7.42578125" style="1" bestFit="1" customWidth="1"/>
    <col min="5" max="5" width="5.28515625" customWidth="1"/>
    <col min="6" max="6" width="14.28515625" customWidth="1"/>
    <col min="7" max="7" width="7.7109375" bestFit="1" customWidth="1"/>
    <col min="8" max="10" width="8" customWidth="1"/>
  </cols>
  <sheetData>
    <row r="1" spans="1:10" ht="21" x14ac:dyDescent="0.25">
      <c r="A1" s="73" t="s">
        <v>16</v>
      </c>
      <c r="B1" s="73"/>
      <c r="C1" s="73"/>
      <c r="D1" s="73"/>
      <c r="F1" s="53" t="str" cm="1">
        <f t="array" ref="F1">INDEX(F3:F6,H1,1)</f>
        <v>TV</v>
      </c>
      <c r="G1" s="52" t="s">
        <v>40</v>
      </c>
      <c r="H1" s="74">
        <v>4</v>
      </c>
      <c r="I1" s="75"/>
    </row>
    <row r="2" spans="1:10" s="9" customFormat="1" ht="47.25" x14ac:dyDescent="0.25">
      <c r="A2" s="44" t="s">
        <v>0</v>
      </c>
      <c r="B2" s="44" t="s">
        <v>31</v>
      </c>
      <c r="C2" s="44" t="s">
        <v>32</v>
      </c>
      <c r="D2" s="44" t="s">
        <v>33</v>
      </c>
      <c r="E2" s="49"/>
      <c r="F2" s="44" t="s">
        <v>0</v>
      </c>
      <c r="G2" s="44" t="s">
        <v>31</v>
      </c>
      <c r="H2" s="44" t="s">
        <v>34</v>
      </c>
      <c r="I2" s="44" t="s">
        <v>35</v>
      </c>
      <c r="J2" s="44" t="s">
        <v>62</v>
      </c>
    </row>
    <row r="3" spans="1:10" ht="15.75" x14ac:dyDescent="0.25">
      <c r="A3" s="45" t="s">
        <v>3</v>
      </c>
      <c r="B3" s="45" t="s">
        <v>29</v>
      </c>
      <c r="C3" s="46">
        <v>340</v>
      </c>
      <c r="D3" s="46">
        <v>300</v>
      </c>
      <c r="E3" s="50"/>
      <c r="F3" s="45" t="s">
        <v>3</v>
      </c>
      <c r="G3" s="46" t="s">
        <v>29</v>
      </c>
      <c r="H3" s="48">
        <f>SUMIFS($C$3:$C$16,$A$3:$A$16,$F$1,$B$3:$B$16,G3)</f>
        <v>200</v>
      </c>
      <c r="I3" s="48">
        <f>SUMIFS($D$3:$D$16,$A$3:$A$16,$F$1,$B$3:$B$16,G3)</f>
        <v>543</v>
      </c>
      <c r="J3" s="4">
        <f>SUM(H3:I3)</f>
        <v>743</v>
      </c>
    </row>
    <row r="4" spans="1:10" ht="15.75" x14ac:dyDescent="0.25">
      <c r="A4" s="45" t="s">
        <v>3</v>
      </c>
      <c r="B4" s="45" t="s">
        <v>30</v>
      </c>
      <c r="C4" s="46">
        <v>890</v>
      </c>
      <c r="D4" s="46">
        <v>257</v>
      </c>
      <c r="E4" s="50"/>
      <c r="F4" s="45" t="s">
        <v>5</v>
      </c>
      <c r="G4" s="46" t="s">
        <v>30</v>
      </c>
      <c r="H4" s="48">
        <f t="shared" ref="H4:H6" si="0">SUMIFS($C$3:$C$16,$A$3:$A$16,$F$1,$B$3:$B$16,G4)</f>
        <v>600</v>
      </c>
      <c r="I4" s="48">
        <f t="shared" ref="I4:I6" si="1">SUMIFS($D$3:$D$16,$A$3:$A$16,$F$1,$B$3:$B$16,G4)</f>
        <v>265</v>
      </c>
      <c r="J4" s="4">
        <f t="shared" ref="J4:J6" si="2">SUM(H4:I4)</f>
        <v>865</v>
      </c>
    </row>
    <row r="5" spans="1:10" ht="15.75" x14ac:dyDescent="0.25">
      <c r="A5" s="45" t="s">
        <v>3</v>
      </c>
      <c r="B5" s="45" t="s">
        <v>36</v>
      </c>
      <c r="C5" s="46">
        <v>350</v>
      </c>
      <c r="D5" s="46">
        <v>189</v>
      </c>
      <c r="E5" s="50"/>
      <c r="F5" s="45" t="s">
        <v>4</v>
      </c>
      <c r="G5" s="46" t="s">
        <v>36</v>
      </c>
      <c r="H5" s="48">
        <f t="shared" si="0"/>
        <v>420</v>
      </c>
      <c r="I5" s="48">
        <f t="shared" si="1"/>
        <v>471</v>
      </c>
      <c r="J5" s="4">
        <f t="shared" si="2"/>
        <v>891</v>
      </c>
    </row>
    <row r="6" spans="1:10" ht="15.75" x14ac:dyDescent="0.25">
      <c r="A6" s="45" t="s">
        <v>3</v>
      </c>
      <c r="B6" s="45" t="s">
        <v>37</v>
      </c>
      <c r="C6" s="46">
        <v>230</v>
      </c>
      <c r="D6" s="46">
        <v>399</v>
      </c>
      <c r="E6" s="50"/>
      <c r="F6" s="45" t="s">
        <v>2</v>
      </c>
      <c r="G6" s="46" t="s">
        <v>37</v>
      </c>
      <c r="H6" s="48">
        <f t="shared" si="0"/>
        <v>400</v>
      </c>
      <c r="I6" s="48">
        <f t="shared" si="1"/>
        <v>543</v>
      </c>
      <c r="J6" s="4">
        <f t="shared" si="2"/>
        <v>943</v>
      </c>
    </row>
    <row r="7" spans="1:10" ht="15.75" x14ac:dyDescent="0.25">
      <c r="A7" s="45" t="s">
        <v>5</v>
      </c>
      <c r="B7" s="45" t="s">
        <v>29</v>
      </c>
      <c r="C7" s="46">
        <v>340</v>
      </c>
      <c r="D7" s="46">
        <v>400</v>
      </c>
      <c r="E7" s="50"/>
      <c r="F7" s="50"/>
      <c r="G7" s="50"/>
      <c r="H7" s="50"/>
      <c r="I7" s="50"/>
    </row>
    <row r="8" spans="1:10" ht="15.75" x14ac:dyDescent="0.25">
      <c r="A8" s="45" t="s">
        <v>5</v>
      </c>
      <c r="B8" s="45" t="s">
        <v>30</v>
      </c>
      <c r="C8" s="46">
        <v>300</v>
      </c>
      <c r="D8" s="46">
        <v>431</v>
      </c>
      <c r="E8" s="50"/>
      <c r="F8" s="50"/>
      <c r="G8" s="50"/>
      <c r="H8" s="50"/>
      <c r="I8" s="50"/>
      <c r="J8" s="17"/>
    </row>
    <row r="9" spans="1:10" ht="15.75" x14ac:dyDescent="0.25">
      <c r="A9" s="45" t="s">
        <v>4</v>
      </c>
      <c r="B9" s="45" t="s">
        <v>29</v>
      </c>
      <c r="C9" s="46">
        <v>457</v>
      </c>
      <c r="D9" s="46">
        <v>423</v>
      </c>
      <c r="E9" s="50"/>
      <c r="F9" s="50"/>
      <c r="G9" s="50"/>
      <c r="H9" s="50"/>
      <c r="I9" s="50"/>
    </row>
    <row r="10" spans="1:10" ht="15.75" x14ac:dyDescent="0.25">
      <c r="A10" s="45" t="s">
        <v>4</v>
      </c>
      <c r="B10" s="45" t="s">
        <v>30</v>
      </c>
      <c r="C10" s="46">
        <v>290</v>
      </c>
      <c r="D10" s="46">
        <v>368</v>
      </c>
      <c r="E10" s="50"/>
      <c r="F10" s="50"/>
      <c r="G10" s="50"/>
      <c r="H10" s="50"/>
      <c r="I10" s="50"/>
    </row>
    <row r="11" spans="1:10" ht="15.75" x14ac:dyDescent="0.25">
      <c r="A11" s="45" t="s">
        <v>4</v>
      </c>
      <c r="B11" s="45" t="s">
        <v>36</v>
      </c>
      <c r="C11" s="46">
        <v>350</v>
      </c>
      <c r="D11" s="46">
        <v>321</v>
      </c>
      <c r="E11" s="50"/>
      <c r="F11" s="50"/>
      <c r="G11" s="50"/>
      <c r="H11" s="50"/>
      <c r="I11" s="50"/>
    </row>
    <row r="12" spans="1:10" ht="15.75" x14ac:dyDescent="0.25">
      <c r="A12" s="45" t="s">
        <v>4</v>
      </c>
      <c r="B12" s="45" t="s">
        <v>37</v>
      </c>
      <c r="C12" s="46">
        <v>199</v>
      </c>
      <c r="D12" s="46">
        <v>276</v>
      </c>
      <c r="E12" s="50"/>
      <c r="F12" s="50"/>
      <c r="G12" s="50"/>
      <c r="H12" s="50"/>
      <c r="I12" s="50"/>
    </row>
    <row r="13" spans="1:10" ht="15.75" x14ac:dyDescent="0.25">
      <c r="A13" s="45" t="s">
        <v>2</v>
      </c>
      <c r="B13" s="45" t="s">
        <v>37</v>
      </c>
      <c r="C13" s="46">
        <v>400</v>
      </c>
      <c r="D13" s="46">
        <v>543</v>
      </c>
      <c r="E13" s="50"/>
      <c r="F13" s="50"/>
      <c r="G13" s="50"/>
      <c r="H13" s="50"/>
      <c r="I13" s="50"/>
    </row>
    <row r="14" spans="1:10" ht="15.75" x14ac:dyDescent="0.25">
      <c r="A14" s="45" t="s">
        <v>2</v>
      </c>
      <c r="B14" s="45" t="s">
        <v>29</v>
      </c>
      <c r="C14" s="46">
        <v>200</v>
      </c>
      <c r="D14" s="46">
        <v>543</v>
      </c>
      <c r="E14" s="50"/>
      <c r="F14" s="50"/>
      <c r="G14" s="50"/>
      <c r="H14" s="50"/>
      <c r="I14" s="50"/>
    </row>
    <row r="15" spans="1:10" ht="15.75" x14ac:dyDescent="0.25">
      <c r="A15" s="45" t="s">
        <v>2</v>
      </c>
      <c r="B15" s="45" t="s">
        <v>30</v>
      </c>
      <c r="C15" s="46">
        <v>600</v>
      </c>
      <c r="D15" s="46">
        <v>265</v>
      </c>
      <c r="E15" s="50"/>
      <c r="F15" s="50"/>
      <c r="G15" s="50"/>
      <c r="H15" s="50"/>
      <c r="I15" s="50"/>
    </row>
    <row r="16" spans="1:10" ht="15.75" x14ac:dyDescent="0.25">
      <c r="A16" s="45" t="s">
        <v>2</v>
      </c>
      <c r="B16" s="45" t="s">
        <v>36</v>
      </c>
      <c r="C16" s="46">
        <v>420</v>
      </c>
      <c r="D16" s="46">
        <v>471</v>
      </c>
      <c r="E16" s="50"/>
      <c r="F16" s="50"/>
      <c r="G16" s="50"/>
      <c r="H16" s="50"/>
      <c r="I16" s="50"/>
    </row>
    <row r="17" spans="1:9" ht="15.75" x14ac:dyDescent="0.25">
      <c r="A17" s="50"/>
      <c r="B17" s="50"/>
      <c r="C17" s="51"/>
      <c r="D17" s="51"/>
      <c r="E17" s="50"/>
      <c r="F17" s="50"/>
      <c r="G17" s="50"/>
      <c r="H17" s="50"/>
      <c r="I17" s="50"/>
    </row>
  </sheetData>
  <mergeCells count="2">
    <mergeCell ref="A1:D1"/>
    <mergeCell ref="H1:I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5</xdr:col>
                    <xdr:colOff>133350</xdr:colOff>
                    <xdr:row>7</xdr:row>
                    <xdr:rowOff>0</xdr:rowOff>
                  </from>
                  <to>
                    <xdr:col>8</xdr:col>
                    <xdr:colOff>523875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Option Button 2">
              <controlPr defaultSize="0" autoFill="0" autoLine="0" autoPict="0">
                <anchor moveWithCells="1">
                  <from>
                    <xdr:col>5</xdr:col>
                    <xdr:colOff>266700</xdr:colOff>
                    <xdr:row>8</xdr:row>
                    <xdr:rowOff>9525</xdr:rowOff>
                  </from>
                  <to>
                    <xdr:col>6</xdr:col>
                    <xdr:colOff>361950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Option Button 3">
              <controlPr defaultSize="0" autoFill="0" autoLine="0" autoPict="0">
                <anchor moveWithCells="1">
                  <from>
                    <xdr:col>5</xdr:col>
                    <xdr:colOff>266700</xdr:colOff>
                    <xdr:row>9</xdr:row>
                    <xdr:rowOff>123825</xdr:rowOff>
                  </from>
                  <to>
                    <xdr:col>6</xdr:col>
                    <xdr:colOff>361950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Option Button 4">
              <controlPr defaultSize="0" autoFill="0" autoLine="0" autoPict="0">
                <anchor moveWithCells="1">
                  <from>
                    <xdr:col>5</xdr:col>
                    <xdr:colOff>266700</xdr:colOff>
                    <xdr:row>11</xdr:row>
                    <xdr:rowOff>28575</xdr:rowOff>
                  </from>
                  <to>
                    <xdr:col>6</xdr:col>
                    <xdr:colOff>361950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Option Button 5">
              <controlPr defaultSize="0" autoFill="0" autoLine="0" autoPict="0">
                <anchor moveWithCells="1">
                  <from>
                    <xdr:col>5</xdr:col>
                    <xdr:colOff>266700</xdr:colOff>
                    <xdr:row>12</xdr:row>
                    <xdr:rowOff>190500</xdr:rowOff>
                  </from>
                  <to>
                    <xdr:col>6</xdr:col>
                    <xdr:colOff>361950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4">
    <tabColor rgb="FF7030A0"/>
    <pageSetUpPr fitToPage="1"/>
  </sheetPr>
  <dimension ref="A1:J6"/>
  <sheetViews>
    <sheetView tabSelected="1" zoomScale="70" zoomScaleNormal="70" workbookViewId="0">
      <selection activeCell="U5" sqref="U5"/>
    </sheetView>
  </sheetViews>
  <sheetFormatPr defaultColWidth="10" defaultRowHeight="15" outlineLevelCol="1" x14ac:dyDescent="0.25"/>
  <cols>
    <col min="1" max="1" width="7.28515625" customWidth="1" outlineLevel="1"/>
    <col min="2" max="2" width="11" customWidth="1" outlineLevel="1"/>
    <col min="3" max="5" width="13.7109375" customWidth="1" outlineLevel="1"/>
    <col min="6" max="6" width="15" customWidth="1" outlineLevel="1"/>
    <col min="10" max="10" width="11.42578125" bestFit="1" customWidth="1"/>
  </cols>
  <sheetData>
    <row r="1" spans="2:10" s="18" customFormat="1" ht="15.75" x14ac:dyDescent="0.25">
      <c r="B1" s="76" t="s">
        <v>70</v>
      </c>
      <c r="C1" s="76"/>
      <c r="D1" s="109" t="s">
        <v>42</v>
      </c>
      <c r="E1" s="110"/>
      <c r="F1" s="54"/>
    </row>
    <row r="2" spans="2:10" s="9" customFormat="1" ht="15.75" x14ac:dyDescent="0.25">
      <c r="B2" s="48"/>
      <c r="C2" s="44" t="s">
        <v>13</v>
      </c>
      <c r="D2" s="44" t="s">
        <v>14</v>
      </c>
      <c r="E2" s="44" t="s">
        <v>15</v>
      </c>
      <c r="F2" s="44" t="s">
        <v>17</v>
      </c>
      <c r="J2" s="4" t="s">
        <v>42</v>
      </c>
    </row>
    <row r="3" spans="2:10" ht="15.75" x14ac:dyDescent="0.25">
      <c r="B3" s="45" t="s">
        <v>3</v>
      </c>
      <c r="C3" s="108">
        <f>SUMIFS(Exemplo4!$C$3:$C$18,Exemplo4!$B$3:$B$18,Exemplo4_Resumo!$D$1,Exemplo4!$A$3:$A$18,Exemplo4_Resumo!B3)</f>
        <v>954</v>
      </c>
      <c r="D3" s="108">
        <f>SUMIFS(Exemplo4!$D$3:$D$18,Exemplo4!$B$3:$B$18,Exemplo4_Resumo!$D$1,Exemplo4!$A$3:$A$18,Exemplo4_Resumo!B3)</f>
        <v>974</v>
      </c>
      <c r="E3" s="108">
        <f>SUMIFS(Exemplo4!$E$3:$E$18,Exemplo4!$B$3:$B$18,Exemplo4_Resumo!$D$1,Exemplo4!$A$3:$A$18,Exemplo4_Resumo!B3)</f>
        <v>1004</v>
      </c>
      <c r="F3" s="108">
        <f>SUM(C3:E3)</f>
        <v>2932</v>
      </c>
      <c r="J3" s="4" t="s">
        <v>43</v>
      </c>
    </row>
    <row r="4" spans="2:10" ht="15.75" x14ac:dyDescent="0.25">
      <c r="B4" s="45" t="s">
        <v>5</v>
      </c>
      <c r="C4" s="108">
        <f>SUMIFS(Exemplo4!$C$3:$C$18,Exemplo4!$B$3:$B$18,Exemplo4_Resumo!$D$1,Exemplo4!$A$3:$A$18,Exemplo4_Resumo!B4)</f>
        <v>1150</v>
      </c>
      <c r="D4" s="108">
        <f>SUMIFS(Exemplo4!$D$3:$D$18,Exemplo4!$B$3:$B$18,Exemplo4_Resumo!$D$1,Exemplo4!$A$3:$A$18,Exemplo4_Resumo!B4)</f>
        <v>1160</v>
      </c>
      <c r="E4" s="108">
        <f>SUMIFS(Exemplo4!$E$3:$E$18,Exemplo4!$B$3:$B$18,Exemplo4_Resumo!$D$1,Exemplo4!$A$3:$A$18,Exemplo4_Resumo!B4)</f>
        <v>1175</v>
      </c>
      <c r="F4" s="108">
        <f t="shared" ref="F4:F6" si="0">SUM(C4:E4)</f>
        <v>3485</v>
      </c>
      <c r="J4" s="4" t="s">
        <v>44</v>
      </c>
    </row>
    <row r="5" spans="2:10" ht="15.75" x14ac:dyDescent="0.25">
      <c r="B5" s="45" t="s">
        <v>4</v>
      </c>
      <c r="C5" s="108">
        <f>SUMIFS(Exemplo4!$C$3:$C$18,Exemplo4!$B$3:$B$18,Exemplo4_Resumo!$D$1,Exemplo4!$A$3:$A$18,Exemplo4_Resumo!B5)</f>
        <v>454</v>
      </c>
      <c r="D5" s="108">
        <f>SUMIFS(Exemplo4!$D$3:$D$18,Exemplo4!$B$3:$B$18,Exemplo4_Resumo!$D$1,Exemplo4!$A$3:$A$18,Exemplo4_Resumo!B5)</f>
        <v>464</v>
      </c>
      <c r="E5" s="108">
        <f>SUMIFS(Exemplo4!$E$3:$E$18,Exemplo4!$B$3:$B$18,Exemplo4_Resumo!$D$1,Exemplo4!$A$3:$A$18,Exemplo4_Resumo!B5)</f>
        <v>479</v>
      </c>
      <c r="F5" s="108">
        <f t="shared" si="0"/>
        <v>1397</v>
      </c>
    </row>
    <row r="6" spans="2:10" ht="15.75" x14ac:dyDescent="0.25">
      <c r="B6" s="45" t="s">
        <v>2</v>
      </c>
      <c r="C6" s="108">
        <f>SUMIFS(Exemplo4!$C$3:$C$18,Exemplo4!$B$3:$B$18,Exemplo4_Resumo!$D$1,Exemplo4!$A$3:$A$18,Exemplo4_Resumo!B6)</f>
        <v>1500</v>
      </c>
      <c r="D6" s="108">
        <f>SUMIFS(Exemplo4!$D$3:$D$18,Exemplo4!$B$3:$B$18,Exemplo4_Resumo!$D$1,Exemplo4!$A$3:$A$18,Exemplo4_Resumo!B6)</f>
        <v>1510</v>
      </c>
      <c r="E6" s="108">
        <f>SUMIFS(Exemplo4!$E$3:$E$18,Exemplo4!$B$3:$B$18,Exemplo4_Resumo!$D$1,Exemplo4!$A$3:$A$18,Exemplo4_Resumo!B6)</f>
        <v>1525</v>
      </c>
      <c r="F6" s="108">
        <f t="shared" si="0"/>
        <v>4535</v>
      </c>
    </row>
  </sheetData>
  <mergeCells count="2">
    <mergeCell ref="D1:E1"/>
    <mergeCell ref="B1:C1"/>
  </mergeCells>
  <dataValidations count="1">
    <dataValidation type="list" allowBlank="1" showInputMessage="1" showErrorMessage="1" sqref="D1:E1" xr:uid="{0D21433B-5FD4-4848-A971-09371CF92E86}">
      <formula1>$J$2:$J$4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6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7030A0"/>
  </sheetPr>
  <dimension ref="A1:J18"/>
  <sheetViews>
    <sheetView zoomScale="115" zoomScaleNormal="115" workbookViewId="0">
      <selection activeCell="L15" sqref="L15"/>
    </sheetView>
  </sheetViews>
  <sheetFormatPr defaultColWidth="10" defaultRowHeight="15" x14ac:dyDescent="0.25"/>
  <cols>
    <col min="1" max="1" width="11" bestFit="1" customWidth="1"/>
    <col min="2" max="2" width="11.42578125" bestFit="1" customWidth="1"/>
    <col min="3" max="3" width="10.140625" bestFit="1" customWidth="1"/>
    <col min="4" max="5" width="10.140625" style="1" bestFit="1" customWidth="1"/>
    <col min="6" max="9" width="3.7109375" customWidth="1"/>
  </cols>
  <sheetData>
    <row r="1" spans="1:10" s="18" customFormat="1" ht="23.25" x14ac:dyDescent="0.35">
      <c r="A1" s="77" t="s">
        <v>46</v>
      </c>
      <c r="B1" s="78"/>
      <c r="C1" s="78"/>
      <c r="D1" s="78"/>
      <c r="E1" s="79"/>
      <c r="J1" s="4" t="s">
        <v>3</v>
      </c>
    </row>
    <row r="2" spans="1:10" s="9" customFormat="1" ht="30" x14ac:dyDescent="0.25">
      <c r="A2" s="55" t="s">
        <v>0</v>
      </c>
      <c r="B2" s="55" t="s">
        <v>41</v>
      </c>
      <c r="C2" s="55" t="s">
        <v>13</v>
      </c>
      <c r="D2" s="55" t="s">
        <v>14</v>
      </c>
      <c r="E2" s="55" t="s">
        <v>15</v>
      </c>
      <c r="J2" s="4" t="s">
        <v>5</v>
      </c>
    </row>
    <row r="3" spans="1:10" x14ac:dyDescent="0.25">
      <c r="A3" s="4" t="s">
        <v>3</v>
      </c>
      <c r="B3" s="4" t="s">
        <v>42</v>
      </c>
      <c r="C3" s="26">
        <v>455</v>
      </c>
      <c r="D3" s="26">
        <v>465</v>
      </c>
      <c r="E3" s="26">
        <v>480</v>
      </c>
      <c r="J3" s="4" t="s">
        <v>4</v>
      </c>
    </row>
    <row r="4" spans="1:10" x14ac:dyDescent="0.25">
      <c r="A4" s="4" t="s">
        <v>5</v>
      </c>
      <c r="B4" s="4" t="s">
        <v>43</v>
      </c>
      <c r="C4" s="26">
        <v>690</v>
      </c>
      <c r="D4" s="26">
        <v>700</v>
      </c>
      <c r="E4" s="26">
        <v>715</v>
      </c>
      <c r="J4" s="4" t="s">
        <v>2</v>
      </c>
    </row>
    <row r="5" spans="1:10" x14ac:dyDescent="0.25">
      <c r="A5" s="4" t="s">
        <v>4</v>
      </c>
      <c r="B5" s="4" t="s">
        <v>44</v>
      </c>
      <c r="C5" s="26">
        <v>790</v>
      </c>
      <c r="D5" s="26">
        <v>800</v>
      </c>
      <c r="E5" s="26">
        <v>815</v>
      </c>
    </row>
    <row r="6" spans="1:10" x14ac:dyDescent="0.25">
      <c r="A6" s="4" t="s">
        <v>2</v>
      </c>
      <c r="B6" s="4" t="s">
        <v>42</v>
      </c>
      <c r="C6" s="26">
        <v>1500</v>
      </c>
      <c r="D6" s="26">
        <v>1510</v>
      </c>
      <c r="E6" s="26">
        <v>1525</v>
      </c>
    </row>
    <row r="7" spans="1:10" x14ac:dyDescent="0.25">
      <c r="A7" s="4" t="s">
        <v>3</v>
      </c>
      <c r="B7" s="4" t="s">
        <v>43</v>
      </c>
      <c r="C7" s="26">
        <v>547</v>
      </c>
      <c r="D7" s="26">
        <v>557</v>
      </c>
      <c r="E7" s="26">
        <v>572</v>
      </c>
    </row>
    <row r="8" spans="1:10" x14ac:dyDescent="0.25">
      <c r="A8" s="4" t="s">
        <v>5</v>
      </c>
      <c r="B8" s="4" t="s">
        <v>44</v>
      </c>
      <c r="C8" s="26">
        <v>685</v>
      </c>
      <c r="D8" s="26">
        <v>695</v>
      </c>
      <c r="E8" s="26">
        <v>710</v>
      </c>
    </row>
    <row r="9" spans="1:10" x14ac:dyDescent="0.25">
      <c r="A9" s="4" t="s">
        <v>4</v>
      </c>
      <c r="B9" s="4" t="s">
        <v>43</v>
      </c>
      <c r="C9" s="26">
        <v>1000</v>
      </c>
      <c r="D9" s="26">
        <v>1010</v>
      </c>
      <c r="E9" s="26">
        <v>1025</v>
      </c>
    </row>
    <row r="10" spans="1:10" x14ac:dyDescent="0.25">
      <c r="A10" s="4" t="s">
        <v>2</v>
      </c>
      <c r="B10" s="4" t="s">
        <v>44</v>
      </c>
      <c r="C10" s="26">
        <v>2100</v>
      </c>
      <c r="D10" s="26">
        <v>2110</v>
      </c>
      <c r="E10" s="26">
        <v>2125</v>
      </c>
    </row>
    <row r="11" spans="1:10" x14ac:dyDescent="0.25">
      <c r="A11" s="4" t="s">
        <v>3</v>
      </c>
      <c r="B11" s="4" t="s">
        <v>42</v>
      </c>
      <c r="C11" s="26">
        <v>499</v>
      </c>
      <c r="D11" s="26">
        <v>509</v>
      </c>
      <c r="E11" s="26">
        <v>524</v>
      </c>
    </row>
    <row r="12" spans="1:10" x14ac:dyDescent="0.25">
      <c r="A12" s="4" t="s">
        <v>5</v>
      </c>
      <c r="B12" s="4" t="s">
        <v>43</v>
      </c>
      <c r="C12" s="26">
        <v>432</v>
      </c>
      <c r="D12" s="26">
        <v>442</v>
      </c>
      <c r="E12" s="26">
        <v>457</v>
      </c>
    </row>
    <row r="13" spans="1:10" x14ac:dyDescent="0.25">
      <c r="A13" s="4" t="s">
        <v>4</v>
      </c>
      <c r="B13" s="4" t="s">
        <v>42</v>
      </c>
      <c r="C13" s="26">
        <v>454</v>
      </c>
      <c r="D13" s="26">
        <v>464</v>
      </c>
      <c r="E13" s="26">
        <v>479</v>
      </c>
    </row>
    <row r="14" spans="1:10" x14ac:dyDescent="0.25">
      <c r="A14" s="4" t="s">
        <v>2</v>
      </c>
      <c r="B14" s="4" t="s">
        <v>43</v>
      </c>
      <c r="C14" s="26">
        <v>900</v>
      </c>
      <c r="D14" s="26">
        <v>910</v>
      </c>
      <c r="E14" s="26">
        <v>925</v>
      </c>
    </row>
    <row r="15" spans="1:10" x14ac:dyDescent="0.25">
      <c r="A15" s="4" t="s">
        <v>3</v>
      </c>
      <c r="B15" s="4" t="s">
        <v>44</v>
      </c>
      <c r="C15" s="26">
        <v>780</v>
      </c>
      <c r="D15" s="26">
        <v>790</v>
      </c>
      <c r="E15" s="26">
        <v>805</v>
      </c>
    </row>
    <row r="16" spans="1:10" x14ac:dyDescent="0.25">
      <c r="A16" s="4" t="s">
        <v>5</v>
      </c>
      <c r="B16" s="4" t="s">
        <v>42</v>
      </c>
      <c r="C16" s="26">
        <v>1150</v>
      </c>
      <c r="D16" s="26">
        <v>1160</v>
      </c>
      <c r="E16" s="26">
        <v>1175</v>
      </c>
    </row>
    <row r="17" spans="1:5" x14ac:dyDescent="0.25">
      <c r="A17" s="4" t="s">
        <v>4</v>
      </c>
      <c r="B17" s="4" t="s">
        <v>43</v>
      </c>
      <c r="C17" s="26">
        <v>679</v>
      </c>
      <c r="D17" s="26">
        <v>689</v>
      </c>
      <c r="E17" s="26">
        <v>704</v>
      </c>
    </row>
    <row r="18" spans="1:5" x14ac:dyDescent="0.25">
      <c r="A18" s="4" t="s">
        <v>2</v>
      </c>
      <c r="B18" s="4" t="s">
        <v>44</v>
      </c>
      <c r="C18" s="26">
        <v>1500</v>
      </c>
      <c r="D18" s="26">
        <v>1510</v>
      </c>
      <c r="E18" s="26">
        <v>1525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>
    <tabColor rgb="FF0070C0"/>
  </sheetPr>
  <dimension ref="A1:J16"/>
  <sheetViews>
    <sheetView showGridLines="0" zoomScale="120" zoomScaleNormal="120" workbookViewId="0">
      <selection activeCell="F13" sqref="F13"/>
    </sheetView>
  </sheetViews>
  <sheetFormatPr defaultColWidth="10" defaultRowHeight="15" x14ac:dyDescent="0.25"/>
  <cols>
    <col min="1" max="1" width="17.42578125" bestFit="1" customWidth="1"/>
    <col min="2" max="2" width="11.85546875" customWidth="1"/>
    <col min="3" max="3" width="11.140625" bestFit="1" customWidth="1"/>
    <col min="4" max="4" width="11.140625" style="1" bestFit="1" customWidth="1"/>
    <col min="5" max="5" width="10.5703125" style="1" bestFit="1" customWidth="1"/>
    <col min="6" max="6" width="11.5703125" bestFit="1" customWidth="1"/>
    <col min="7" max="9" width="6.85546875" customWidth="1"/>
    <col min="10" max="10" width="6.140625" customWidth="1"/>
  </cols>
  <sheetData>
    <row r="1" spans="1:10" ht="23.25" x14ac:dyDescent="0.25">
      <c r="A1" s="80" t="s">
        <v>19</v>
      </c>
      <c r="B1" s="81"/>
      <c r="C1" s="81"/>
      <c r="D1" s="82"/>
      <c r="E1" s="4"/>
      <c r="F1" s="4"/>
      <c r="I1" s="56"/>
      <c r="J1" s="27">
        <v>0.05</v>
      </c>
    </row>
    <row r="2" spans="1:10" s="9" customFormat="1" ht="31.5" x14ac:dyDescent="0.25">
      <c r="A2" s="44" t="s">
        <v>20</v>
      </c>
      <c r="B2" s="44" t="s">
        <v>0</v>
      </c>
      <c r="C2" s="44" t="s">
        <v>18</v>
      </c>
      <c r="D2" s="44" t="s">
        <v>56</v>
      </c>
      <c r="E2" s="85"/>
      <c r="F2" s="86"/>
      <c r="I2" s="57"/>
      <c r="J2" s="27">
        <v>7.0000000000000007E-2</v>
      </c>
    </row>
    <row r="3" spans="1:10" ht="15.75" x14ac:dyDescent="0.25">
      <c r="A3" s="45" t="s">
        <v>21</v>
      </c>
      <c r="B3" s="45" t="s">
        <v>3</v>
      </c>
      <c r="C3" s="58">
        <v>1000</v>
      </c>
      <c r="D3" s="58"/>
      <c r="E3" s="87"/>
      <c r="F3" s="88"/>
      <c r="I3" s="56"/>
      <c r="J3" s="27">
        <v>0.1</v>
      </c>
    </row>
    <row r="4" spans="1:10" ht="15.75" x14ac:dyDescent="0.25">
      <c r="A4" s="45" t="s">
        <v>22</v>
      </c>
      <c r="B4" s="45" t="s">
        <v>5</v>
      </c>
      <c r="C4" s="58">
        <v>1500</v>
      </c>
      <c r="D4" s="58"/>
      <c r="E4" s="87"/>
      <c r="F4" s="88"/>
      <c r="I4" s="56"/>
      <c r="J4" s="27">
        <v>0.12</v>
      </c>
    </row>
    <row r="5" spans="1:10" ht="15.75" x14ac:dyDescent="0.25">
      <c r="A5" s="45" t="s">
        <v>23</v>
      </c>
      <c r="B5" s="45" t="s">
        <v>4</v>
      </c>
      <c r="C5" s="58">
        <v>900</v>
      </c>
      <c r="D5" s="58"/>
      <c r="E5" s="87"/>
      <c r="F5" s="88"/>
    </row>
    <row r="6" spans="1:10" ht="15.75" x14ac:dyDescent="0.25">
      <c r="A6" s="45" t="s">
        <v>24</v>
      </c>
      <c r="B6" s="45" t="s">
        <v>2</v>
      </c>
      <c r="C6" s="58">
        <v>1200</v>
      </c>
      <c r="D6" s="58"/>
      <c r="E6" s="87"/>
      <c r="F6" s="88"/>
    </row>
    <row r="7" spans="1:10" ht="15.75" x14ac:dyDescent="0.25">
      <c r="A7" s="59" t="s">
        <v>17</v>
      </c>
      <c r="B7" s="59" t="s">
        <v>17</v>
      </c>
      <c r="C7" s="58">
        <f>SUM(C3:C6)</f>
        <v>4600</v>
      </c>
      <c r="D7" s="58"/>
      <c r="E7" s="89"/>
      <c r="F7" s="90"/>
    </row>
    <row r="8" spans="1:10" ht="15.75" x14ac:dyDescent="0.25">
      <c r="A8" s="60"/>
      <c r="B8" s="60"/>
      <c r="C8" s="50"/>
      <c r="D8" s="61"/>
    </row>
    <row r="9" spans="1:10" ht="15.75" x14ac:dyDescent="0.25">
      <c r="A9" s="62" t="s">
        <v>63</v>
      </c>
      <c r="B9" s="46"/>
      <c r="C9" s="45"/>
      <c r="D9" s="61"/>
    </row>
    <row r="10" spans="1:10" ht="15.75" x14ac:dyDescent="0.25">
      <c r="A10" s="63"/>
      <c r="B10" s="63" t="s">
        <v>49</v>
      </c>
      <c r="C10" s="63" t="s">
        <v>50</v>
      </c>
      <c r="D10" s="61"/>
    </row>
    <row r="11" spans="1:10" ht="15.75" x14ac:dyDescent="0.25">
      <c r="A11" s="63" t="s">
        <v>51</v>
      </c>
      <c r="B11" s="46"/>
      <c r="C11" s="46"/>
      <c r="D11" s="61"/>
    </row>
    <row r="12" spans="1:10" ht="15.75" x14ac:dyDescent="0.25">
      <c r="A12" s="63" t="s">
        <v>48</v>
      </c>
      <c r="B12" s="46"/>
      <c r="C12" s="46"/>
      <c r="D12" s="61"/>
    </row>
    <row r="13" spans="1:10" x14ac:dyDescent="0.25">
      <c r="A13" s="1"/>
      <c r="B13" s="1"/>
    </row>
    <row r="14" spans="1:10" x14ac:dyDescent="0.25">
      <c r="A14" s="83" t="s">
        <v>57</v>
      </c>
      <c r="B14" s="84"/>
    </row>
    <row r="15" spans="1:10" x14ac:dyDescent="0.25">
      <c r="A15" s="83" t="s">
        <v>58</v>
      </c>
      <c r="B15" s="84"/>
    </row>
    <row r="16" spans="1:10" x14ac:dyDescent="0.25">
      <c r="A16" s="20"/>
      <c r="B16" s="20"/>
    </row>
  </sheetData>
  <mergeCells count="4">
    <mergeCell ref="A1:D1"/>
    <mergeCell ref="A14:B14"/>
    <mergeCell ref="A15:B15"/>
    <mergeCell ref="E2:F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18"/>
  <sheetViews>
    <sheetView zoomScaleNormal="100" workbookViewId="0">
      <selection activeCell="L14" sqref="L14"/>
    </sheetView>
  </sheetViews>
  <sheetFormatPr defaultRowHeight="15" x14ac:dyDescent="0.25"/>
  <cols>
    <col min="1" max="1" width="12.85546875" bestFit="1" customWidth="1"/>
    <col min="2" max="2" width="11.42578125" bestFit="1" customWidth="1"/>
    <col min="6" max="6" width="9.140625" customWidth="1"/>
  </cols>
  <sheetData>
    <row r="1" spans="1:6" s="9" customFormat="1" ht="23.25" customHeight="1" x14ac:dyDescent="0.2">
      <c r="F1" s="32" t="s">
        <v>64</v>
      </c>
    </row>
    <row r="2" spans="1:6" x14ac:dyDescent="0.25">
      <c r="F2" s="32" t="s">
        <v>66</v>
      </c>
    </row>
    <row r="3" spans="1:6" s="12" customFormat="1" ht="26.25" customHeight="1" thickBot="1" x14ac:dyDescent="0.25">
      <c r="B3" s="34"/>
      <c r="F3" s="32" t="s">
        <v>65</v>
      </c>
    </row>
    <row r="4" spans="1:6" ht="18.75" customHeight="1" x14ac:dyDescent="0.3">
      <c r="A4" s="29"/>
      <c r="B4" s="35" t="s">
        <v>47</v>
      </c>
      <c r="C4" s="91"/>
    </row>
    <row r="5" spans="1:6" ht="18.75" customHeight="1" x14ac:dyDescent="0.3">
      <c r="A5" s="30" t="s">
        <v>52</v>
      </c>
      <c r="B5" s="36">
        <v>100</v>
      </c>
      <c r="C5" s="92"/>
    </row>
    <row r="6" spans="1:6" ht="18.75" customHeight="1" x14ac:dyDescent="0.3">
      <c r="A6" s="29" t="s">
        <v>53</v>
      </c>
      <c r="B6" s="36">
        <v>54</v>
      </c>
      <c r="C6" s="92"/>
    </row>
    <row r="7" spans="1:6" ht="18.75" customHeight="1" thickBot="1" x14ac:dyDescent="0.35">
      <c r="A7" s="31" t="s">
        <v>54</v>
      </c>
      <c r="B7" s="37">
        <f>B6/B5</f>
        <v>0.54</v>
      </c>
      <c r="C7" s="93"/>
    </row>
    <row r="8" spans="1:6" ht="15" customHeight="1" x14ac:dyDescent="0.25"/>
    <row r="9" spans="1:6" ht="15" customHeight="1" x14ac:dyDescent="0.25"/>
    <row r="10" spans="1:6" ht="15" customHeight="1" x14ac:dyDescent="0.25"/>
    <row r="11" spans="1:6" ht="15" customHeight="1" x14ac:dyDescent="0.25"/>
    <row r="14" spans="1:6" x14ac:dyDescent="0.25">
      <c r="A14" s="32"/>
    </row>
    <row r="15" spans="1:6" x14ac:dyDescent="0.25">
      <c r="A15" s="32"/>
    </row>
    <row r="18" spans="5:5" x14ac:dyDescent="0.25">
      <c r="E18" s="33"/>
    </row>
  </sheetData>
  <mergeCells count="1">
    <mergeCell ref="C4:C7"/>
  </mergeCells>
  <conditionalFormatting sqref="B3">
    <cfRule type="cellIs" dxfId="6" priority="23" operator="equal">
      <formula>$A$15</formula>
    </cfRule>
    <cfRule type="cellIs" dxfId="5" priority="24" operator="equal">
      <formula>$A$14</formula>
    </cfRule>
    <cfRule type="cellIs" dxfId="4" priority="25" operator="equal">
      <formula>$F$2</formula>
    </cfRule>
  </conditionalFormatting>
  <dataValidations count="1">
    <dataValidation type="whole" operator="lessThanOrEqual" allowBlank="1" showInputMessage="1" showErrorMessage="1" errorTitle="Meta" error="Capacidade máxima de produção é de: &lt;= 1000." sqref="B5" xr:uid="{00000000-0002-0000-0800-000000000000}">
      <formula1>1000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1:I13"/>
  <sheetViews>
    <sheetView zoomScale="150" zoomScaleNormal="150" workbookViewId="0">
      <selection activeCell="L8" sqref="L8"/>
    </sheetView>
  </sheetViews>
  <sheetFormatPr defaultRowHeight="15" x14ac:dyDescent="0.25"/>
  <cols>
    <col min="2" max="4" width="9.140625" customWidth="1"/>
    <col min="5" max="5" width="7.42578125" customWidth="1"/>
    <col min="6" max="9" width="9.140625" customWidth="1"/>
  </cols>
  <sheetData>
    <row r="1" spans="2:9" x14ac:dyDescent="0.25">
      <c r="B1" s="4">
        <v>1</v>
      </c>
      <c r="C1" s="4" t="s">
        <v>4</v>
      </c>
      <c r="D1" s="4"/>
      <c r="G1" s="38"/>
      <c r="H1" t="s">
        <v>4</v>
      </c>
      <c r="I1">
        <v>765</v>
      </c>
    </row>
    <row r="2" spans="2:9" x14ac:dyDescent="0.25">
      <c r="B2" s="4">
        <v>2</v>
      </c>
      <c r="C2" s="4" t="s">
        <v>2</v>
      </c>
      <c r="D2" s="4"/>
      <c r="G2" s="38"/>
      <c r="H2" t="s">
        <v>2</v>
      </c>
      <c r="I2">
        <v>1000</v>
      </c>
    </row>
    <row r="3" spans="2:9" x14ac:dyDescent="0.25">
      <c r="B3" s="4">
        <v>3</v>
      </c>
      <c r="C3" s="4" t="s">
        <v>5</v>
      </c>
      <c r="D3" s="4"/>
      <c r="G3" s="38"/>
      <c r="H3" t="s">
        <v>5</v>
      </c>
      <c r="I3">
        <v>456</v>
      </c>
    </row>
    <row r="4" spans="2:9" x14ac:dyDescent="0.25">
      <c r="B4" s="4">
        <v>4</v>
      </c>
      <c r="C4" s="4" t="s">
        <v>3</v>
      </c>
      <c r="D4" s="4"/>
      <c r="G4" s="38"/>
      <c r="H4" t="s">
        <v>3</v>
      </c>
      <c r="I4">
        <v>324</v>
      </c>
    </row>
    <row r="5" spans="2:9" x14ac:dyDescent="0.25">
      <c r="H5" t="s">
        <v>4</v>
      </c>
      <c r="I5">
        <v>346</v>
      </c>
    </row>
    <row r="6" spans="2:9" x14ac:dyDescent="0.25">
      <c r="B6" s="94"/>
      <c r="C6" s="95"/>
      <c r="D6" s="4"/>
      <c r="E6" s="4"/>
      <c r="H6" t="s">
        <v>5</v>
      </c>
      <c r="I6">
        <v>134</v>
      </c>
    </row>
    <row r="7" spans="2:9" x14ac:dyDescent="0.25">
      <c r="B7" s="4"/>
      <c r="C7" s="4"/>
      <c r="D7" s="4"/>
      <c r="E7" s="4"/>
      <c r="H7" t="s">
        <v>3</v>
      </c>
      <c r="I7">
        <v>432</v>
      </c>
    </row>
    <row r="8" spans="2:9" x14ac:dyDescent="0.25">
      <c r="B8" s="2" t="s">
        <v>4</v>
      </c>
      <c r="C8" s="2" t="s">
        <v>2</v>
      </c>
      <c r="D8" s="2" t="s">
        <v>5</v>
      </c>
      <c r="E8" s="2" t="s">
        <v>3</v>
      </c>
      <c r="H8" t="s">
        <v>4</v>
      </c>
      <c r="I8">
        <v>354</v>
      </c>
    </row>
    <row r="9" spans="2:9" x14ac:dyDescent="0.25">
      <c r="B9" s="96"/>
      <c r="C9" s="97"/>
      <c r="D9" s="97"/>
      <c r="E9" s="98"/>
      <c r="H9" t="s">
        <v>4</v>
      </c>
      <c r="I9">
        <v>900</v>
      </c>
    </row>
    <row r="10" spans="2:9" x14ac:dyDescent="0.25">
      <c r="B10" s="99"/>
      <c r="C10" s="100"/>
      <c r="D10" s="100"/>
      <c r="E10" s="101"/>
      <c r="H10" t="s">
        <v>2</v>
      </c>
      <c r="I10">
        <v>598</v>
      </c>
    </row>
    <row r="11" spans="2:9" x14ac:dyDescent="0.25">
      <c r="B11" s="102"/>
      <c r="C11" s="103"/>
      <c r="D11" s="103"/>
      <c r="E11" s="104"/>
      <c r="H11" t="s">
        <v>5</v>
      </c>
      <c r="I11">
        <v>234</v>
      </c>
    </row>
    <row r="12" spans="2:9" x14ac:dyDescent="0.25">
      <c r="H12" t="s">
        <v>3</v>
      </c>
      <c r="I12">
        <v>321</v>
      </c>
    </row>
    <row r="13" spans="2:9" x14ac:dyDescent="0.25">
      <c r="H13" s="39" t="s">
        <v>55</v>
      </c>
    </row>
  </sheetData>
  <mergeCells count="2">
    <mergeCell ref="B6:C6"/>
    <mergeCell ref="B9:E11"/>
  </mergeCells>
  <conditionalFormatting sqref="D1:D4">
    <cfRule type="cellIs" dxfId="3" priority="2" operator="equal">
      <formula>0</formula>
    </cfRule>
  </conditionalFormatting>
  <conditionalFormatting sqref="G1:G4">
    <cfRule type="expression" dxfId="2" priority="26">
      <formula>$I$1&gt;=100</formula>
    </cfRule>
    <cfRule type="expression" dxfId="1" priority="27">
      <formula>$I$1&gt;=400</formula>
    </cfRule>
    <cfRule type="expression" dxfId="0" priority="28">
      <formula>$I$1&gt;1000</formula>
    </cfRule>
  </conditionalFormatting>
  <dataValidations count="1">
    <dataValidation type="list" allowBlank="1" showInputMessage="1" showErrorMessage="1" sqref="B1:B4" xr:uid="{00000000-0002-0000-0900-000000000000}">
      <formula1>$F$1:$F$11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36"/>
  <sheetViews>
    <sheetView zoomScale="90" zoomScaleNormal="90" workbookViewId="0">
      <selection activeCell="I10" sqref="I10"/>
    </sheetView>
  </sheetViews>
  <sheetFormatPr defaultColWidth="10" defaultRowHeight="15" x14ac:dyDescent="0.25"/>
  <cols>
    <col min="1" max="1" width="12.42578125" bestFit="1" customWidth="1"/>
    <col min="2" max="2" width="11" customWidth="1"/>
    <col min="3" max="3" width="7" bestFit="1" customWidth="1"/>
    <col min="4" max="5" width="7" style="1" bestFit="1" customWidth="1"/>
    <col min="6" max="6" width="7.28515625" bestFit="1" customWidth="1"/>
    <col min="7" max="10" width="8.85546875" customWidth="1"/>
    <col min="11" max="14" width="6" customWidth="1"/>
    <col min="15" max="15" width="11.7109375" bestFit="1" customWidth="1"/>
  </cols>
  <sheetData>
    <row r="1" spans="1:15" s="18" customFormat="1" ht="23.25" x14ac:dyDescent="0.35">
      <c r="A1" s="105" t="s">
        <v>16</v>
      </c>
      <c r="B1" s="105"/>
      <c r="C1" s="105"/>
      <c r="D1" s="105"/>
      <c r="E1" s="105"/>
      <c r="G1" s="40"/>
      <c r="H1" s="106"/>
      <c r="I1" s="107"/>
      <c r="J1" s="40"/>
      <c r="M1"/>
      <c r="N1"/>
      <c r="O1" s="4" t="s">
        <v>42</v>
      </c>
    </row>
    <row r="2" spans="1:15" s="9" customFormat="1" ht="30" x14ac:dyDescent="0.25">
      <c r="A2" s="8" t="s">
        <v>0</v>
      </c>
      <c r="B2" s="8" t="s">
        <v>41</v>
      </c>
      <c r="C2" s="8" t="s">
        <v>13</v>
      </c>
      <c r="D2" s="8" t="s">
        <v>14</v>
      </c>
      <c r="E2" s="8" t="s">
        <v>15</v>
      </c>
      <c r="G2" s="21"/>
      <c r="H2" s="8" t="s">
        <v>13</v>
      </c>
      <c r="I2" s="8" t="s">
        <v>14</v>
      </c>
      <c r="J2" s="8" t="s">
        <v>15</v>
      </c>
      <c r="K2" s="22"/>
      <c r="O2" s="4" t="s">
        <v>43</v>
      </c>
    </row>
    <row r="3" spans="1:15" x14ac:dyDescent="0.25">
      <c r="A3" s="4" t="s">
        <v>3</v>
      </c>
      <c r="B3" s="4" t="s">
        <v>42</v>
      </c>
      <c r="C3" s="6">
        <v>2000</v>
      </c>
      <c r="D3" s="6">
        <v>350</v>
      </c>
      <c r="E3" s="6">
        <v>200</v>
      </c>
      <c r="G3" s="4" t="s">
        <v>3</v>
      </c>
      <c r="H3" s="4"/>
      <c r="I3" s="4"/>
      <c r="J3" s="4"/>
      <c r="K3" s="23"/>
      <c r="O3" s="4" t="s">
        <v>44</v>
      </c>
    </row>
    <row r="4" spans="1:15" x14ac:dyDescent="0.25">
      <c r="A4" s="4" t="s">
        <v>5</v>
      </c>
      <c r="B4" s="4" t="s">
        <v>43</v>
      </c>
      <c r="C4" s="6">
        <v>320</v>
      </c>
      <c r="D4" s="6">
        <v>543</v>
      </c>
      <c r="E4" s="6">
        <v>288</v>
      </c>
      <c r="G4" s="4" t="s">
        <v>5</v>
      </c>
      <c r="H4" s="4"/>
      <c r="I4" s="4"/>
      <c r="J4" s="4"/>
      <c r="K4" s="23"/>
    </row>
    <row r="5" spans="1:15" x14ac:dyDescent="0.25">
      <c r="A5" s="4" t="s">
        <v>4</v>
      </c>
      <c r="B5" s="4" t="s">
        <v>44</v>
      </c>
      <c r="C5" s="6">
        <v>400</v>
      </c>
      <c r="D5" s="6">
        <v>350</v>
      </c>
      <c r="E5" s="6">
        <v>380</v>
      </c>
      <c r="G5" s="4" t="s">
        <v>4</v>
      </c>
      <c r="H5" s="4"/>
      <c r="I5" s="4"/>
      <c r="J5" s="4"/>
      <c r="K5" s="23"/>
    </row>
    <row r="6" spans="1:15" x14ac:dyDescent="0.25">
      <c r="A6" s="4" t="s">
        <v>2</v>
      </c>
      <c r="B6" s="4" t="s">
        <v>42</v>
      </c>
      <c r="C6" s="6">
        <v>290</v>
      </c>
      <c r="D6" s="6">
        <v>400</v>
      </c>
      <c r="E6" s="6">
        <v>370</v>
      </c>
      <c r="G6" s="4" t="s">
        <v>2</v>
      </c>
      <c r="H6" s="4"/>
      <c r="I6" s="4"/>
      <c r="J6" s="4"/>
      <c r="K6" s="23"/>
    </row>
    <row r="7" spans="1:15" x14ac:dyDescent="0.25">
      <c r="A7" s="4" t="s">
        <v>3</v>
      </c>
      <c r="B7" s="4" t="s">
        <v>43</v>
      </c>
      <c r="C7" s="6">
        <v>432</v>
      </c>
      <c r="D7" s="6">
        <v>346</v>
      </c>
      <c r="E7" s="6">
        <v>267</v>
      </c>
    </row>
    <row r="8" spans="1:15" x14ac:dyDescent="0.25">
      <c r="A8" s="4" t="s">
        <v>5</v>
      </c>
      <c r="B8" s="4" t="s">
        <v>44</v>
      </c>
      <c r="C8" s="6">
        <v>324</v>
      </c>
      <c r="D8" s="6">
        <v>657</v>
      </c>
      <c r="E8" s="6">
        <v>267</v>
      </c>
    </row>
    <row r="9" spans="1:15" x14ac:dyDescent="0.25">
      <c r="A9" s="4" t="s">
        <v>4</v>
      </c>
      <c r="B9" s="4" t="s">
        <v>43</v>
      </c>
      <c r="C9" s="6">
        <v>412</v>
      </c>
      <c r="D9" s="6">
        <v>367</v>
      </c>
      <c r="E9" s="6">
        <v>399</v>
      </c>
    </row>
    <row r="10" spans="1:15" x14ac:dyDescent="0.25">
      <c r="A10" s="4" t="s">
        <v>2</v>
      </c>
      <c r="B10" s="4" t="s">
        <v>44</v>
      </c>
      <c r="C10" s="6">
        <v>288</v>
      </c>
      <c r="D10" s="6">
        <v>347</v>
      </c>
      <c r="E10" s="6">
        <v>490</v>
      </c>
    </row>
    <row r="11" spans="1:15" x14ac:dyDescent="0.25">
      <c r="A11" s="4" t="s">
        <v>3</v>
      </c>
      <c r="B11" s="4" t="s">
        <v>42</v>
      </c>
      <c r="C11" s="6">
        <v>345</v>
      </c>
      <c r="D11" s="6">
        <v>350</v>
      </c>
      <c r="E11" s="6">
        <v>276</v>
      </c>
    </row>
    <row r="12" spans="1:15" x14ac:dyDescent="0.25">
      <c r="A12" s="4" t="s">
        <v>5</v>
      </c>
      <c r="B12" s="4" t="s">
        <v>43</v>
      </c>
      <c r="C12" s="6">
        <v>432</v>
      </c>
      <c r="D12" s="6">
        <v>431</v>
      </c>
      <c r="E12" s="6">
        <v>321</v>
      </c>
    </row>
    <row r="13" spans="1:15" x14ac:dyDescent="0.25">
      <c r="A13" s="4" t="s">
        <v>4</v>
      </c>
      <c r="B13" s="4" t="s">
        <v>42</v>
      </c>
      <c r="C13" s="6">
        <v>454</v>
      </c>
      <c r="D13" s="6">
        <v>389</v>
      </c>
      <c r="E13" s="6">
        <v>266</v>
      </c>
    </row>
    <row r="14" spans="1:15" x14ac:dyDescent="0.25">
      <c r="A14" s="4" t="s">
        <v>2</v>
      </c>
      <c r="B14" s="4" t="s">
        <v>43</v>
      </c>
      <c r="C14" s="6">
        <v>265</v>
      </c>
      <c r="D14" s="6">
        <v>543</v>
      </c>
      <c r="E14" s="6">
        <v>312</v>
      </c>
    </row>
    <row r="15" spans="1:15" x14ac:dyDescent="0.25">
      <c r="A15" s="4" t="s">
        <v>3</v>
      </c>
      <c r="B15" s="4" t="s">
        <v>44</v>
      </c>
      <c r="C15" s="6">
        <v>300</v>
      </c>
      <c r="D15" s="6">
        <v>350</v>
      </c>
      <c r="E15" s="6">
        <v>222</v>
      </c>
    </row>
    <row r="16" spans="1:15" x14ac:dyDescent="0.25">
      <c r="A16" s="4" t="s">
        <v>5</v>
      </c>
      <c r="B16" s="4" t="s">
        <v>42</v>
      </c>
      <c r="C16" s="6">
        <v>236</v>
      </c>
      <c r="D16" s="6">
        <v>611</v>
      </c>
      <c r="E16" s="6">
        <v>280</v>
      </c>
    </row>
    <row r="17" spans="1:5" x14ac:dyDescent="0.25">
      <c r="A17" s="4" t="s">
        <v>4</v>
      </c>
      <c r="B17" s="4" t="s">
        <v>43</v>
      </c>
      <c r="C17" s="6">
        <v>465</v>
      </c>
      <c r="D17" s="6">
        <v>353</v>
      </c>
      <c r="E17" s="6">
        <v>255</v>
      </c>
    </row>
    <row r="18" spans="1:5" x14ac:dyDescent="0.25">
      <c r="A18" s="4" t="s">
        <v>2</v>
      </c>
      <c r="B18" s="4" t="s">
        <v>44</v>
      </c>
      <c r="C18" s="6">
        <v>233</v>
      </c>
      <c r="D18" s="6">
        <v>512</v>
      </c>
      <c r="E18" s="6">
        <v>378</v>
      </c>
    </row>
    <row r="36" spans="1:1" x14ac:dyDescent="0.25">
      <c r="A36" t="s">
        <v>45</v>
      </c>
    </row>
  </sheetData>
  <mergeCells count="2">
    <mergeCell ref="A1:E1"/>
    <mergeCell ref="H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BF8F20DACDC524AA97E5D5AD11D1010" ma:contentTypeVersion="29" ma:contentTypeDescription="Crie um novo documento." ma:contentTypeScope="" ma:versionID="b83774272e9ba4b927e399a105d46c31">
  <xsd:schema xmlns:xsd="http://www.w3.org/2001/XMLSchema" xmlns:xs="http://www.w3.org/2001/XMLSchema" xmlns:p="http://schemas.microsoft.com/office/2006/metadata/properties" xmlns:ns2="945e57da-c50d-42e8-ab32-7d1106145708" xmlns:ns3="7be03918-918d-43f2-ab06-80e39ef12aa1" targetNamespace="http://schemas.microsoft.com/office/2006/metadata/properties" ma:root="true" ma:fieldsID="f7ad26407b4a91cfd09dd2669665acac" ns2:_="" ns3:_="">
    <xsd:import namespace="945e57da-c50d-42e8-ab32-7d1106145708"/>
    <xsd:import namespace="7be03918-918d-43f2-ab06-80e39ef12a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GD" minOccurs="0"/>
                <xsd:element ref="ns2:_x00c1_rea" minOccurs="0"/>
                <xsd:element ref="ns2:Sub_x00e1_rea" minOccurs="0"/>
                <xsd:element ref="ns2:Curso"/>
                <xsd:element ref="ns2:UnidadeCurricular" minOccurs="0"/>
                <xsd:element ref="ns2:Elemento_x002b_Recorte" minOccurs="0"/>
                <xsd:element ref="ns2:OutrosCursos" minOccurs="0"/>
                <xsd:element ref="ns2:Modalidade" minOccurs="0"/>
                <xsd:element ref="ns2:TipoRecurso" minOccurs="0"/>
                <xsd:element ref="ns2:Responsivo" minOccurs="0"/>
                <xsd:element ref="ns2:AutordoRecurso" minOccurs="0"/>
                <xsd:element ref="ns2:Restri_x00e7__x00f5_esdeUso" minOccurs="0"/>
                <xsd:element ref="ns2:Temas" minOccurs="0"/>
                <xsd:element ref="ns2:PalavrasChave" minOccurs="0"/>
                <xsd:element ref="ns2:Descri_x00e7__x00e3_oGeral" minOccurs="0"/>
                <xsd:element ref="ns2:Pago" minOccurs="0"/>
                <xsd:element ref="ns2:Situa_x00e7__x00e3_odeAprendizagem_x002f_Estrat_x00e9_gia_x002f_Pr_x00e1_ticaRelacionad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5e57da-c50d-42e8-ab32-7d11061457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GD" ma:index="15" nillable="true" ma:displayName="GD" ma:default="GD2" ma:format="Dropdown" ma:internalName="GD">
      <xsd:simpleType>
        <xsd:restriction base="dms:Text">
          <xsd:maxLength value="255"/>
        </xsd:restriction>
      </xsd:simpleType>
    </xsd:element>
    <xsd:element name="_x00c1_rea" ma:index="16" nillable="true" ma:displayName="Área" ma:default="Tecnologia e Informação" ma:format="Dropdown" ma:internalName="_x00c1_rea">
      <xsd:simpleType>
        <xsd:restriction base="dms:Text">
          <xsd:maxLength value="255"/>
        </xsd:restriction>
      </xsd:simpleType>
    </xsd:element>
    <xsd:element name="Sub_x00e1_rea" ma:index="17" nillable="true" ma:displayName="Subárea" ma:default="Gestão em TI e Desenvolvimento de Sistemas" ma:format="Dropdown" ma:internalName="Sub_x00e1_rea">
      <xsd:simpleType>
        <xsd:restriction base="dms:Text">
          <xsd:maxLength value="255"/>
        </xsd:restriction>
      </xsd:simpleType>
    </xsd:element>
    <xsd:element name="Curso" ma:index="18" ma:displayName="Curso" ma:format="Dropdown" ma:internalName="Curso">
      <xsd:simpleType>
        <xsd:restriction base="dms:Text">
          <xsd:maxLength value="255"/>
        </xsd:restriction>
      </xsd:simpleType>
    </xsd:element>
    <xsd:element name="UnidadeCurricular" ma:index="19" nillable="true" ma:displayName="Unidade Curricular" ma:format="Dropdown" ma:internalName="UnidadeCurricular">
      <xsd:simpleType>
        <xsd:restriction base="dms:Choice">
          <xsd:enumeration value="UC1"/>
          <xsd:enumeration value="UC2"/>
          <xsd:enumeration value="UC3"/>
          <xsd:enumeration value="UC4"/>
          <xsd:enumeration value="UC5"/>
          <xsd:enumeration value="UC6"/>
          <xsd:enumeration value="UC7"/>
          <xsd:enumeration value="UC8"/>
          <xsd:enumeration value="UC9"/>
          <xsd:enumeration value="UC10"/>
          <xsd:enumeration value="UC11"/>
          <xsd:enumeration value="UC12"/>
          <xsd:enumeration value="Transversal"/>
          <xsd:enumeration value="Geral"/>
          <xsd:enumeration value="Não se aplica"/>
        </xsd:restriction>
      </xsd:simpleType>
    </xsd:element>
    <xsd:element name="Elemento_x002b_Recorte" ma:index="20" nillable="true" ma:displayName="Elemento + Recorte" ma:description="Caso esteja especificamente relacionada ao curso." ma:format="Dropdown" ma:internalName="Elemento_x002b_Recorte">
      <xsd:simpleType>
        <xsd:restriction base="dms:Note">
          <xsd:maxLength value="255"/>
        </xsd:restriction>
      </xsd:simpleType>
    </xsd:element>
    <xsd:element name="OutrosCursos" ma:index="21" nillable="true" ma:displayName="Outros Cursos" ma:description="Outros cursos que podem se interessar pelo recurso." ma:format="Dropdown" ma:internalName="OutrosCursos">
      <xsd:simpleType>
        <xsd:restriction base="dms:Note">
          <xsd:maxLength value="255"/>
        </xsd:restriction>
      </xsd:simpleType>
    </xsd:element>
    <xsd:element name="Modalidade" ma:index="22" nillable="true" ma:displayName="Modalidade" ma:default="Habilitação Profissional Técnica De Nível Médio" ma:format="Dropdown" ma:internalName="Modalidade">
      <xsd:simpleType>
        <xsd:restriction base="dms:Text">
          <xsd:maxLength value="255"/>
        </xsd:restriction>
      </xsd:simpleType>
    </xsd:element>
    <xsd:element name="TipoRecurso" ma:index="23" nillable="true" ma:displayName="Tipo Recurso" ma:format="Dropdown" ma:internalName="TipoRecurso">
      <xsd:simpleType>
        <xsd:restriction base="dms:Choice">
          <xsd:enumeration value="Textos"/>
          <xsd:enumeration value="Imagens"/>
          <xsd:enumeration value="Vídeos"/>
          <xsd:enumeration value="Áudios"/>
          <xsd:enumeration value="Páginas web"/>
          <xsd:enumeration value="Capítulos"/>
          <xsd:enumeration value="Livros"/>
          <xsd:enumeration value="Artigos"/>
          <xsd:enumeration value="Slides"/>
          <xsd:enumeration value="Apostilas"/>
          <xsd:enumeration value="Tutoriais"/>
          <xsd:enumeration value="Animações"/>
          <xsd:enumeration value="Infográficos"/>
          <xsd:enumeration value="Jogos"/>
          <xsd:enumeration value="Outros"/>
        </xsd:restriction>
      </xsd:simpleType>
    </xsd:element>
    <xsd:element name="Responsivo" ma:index="24" nillable="true" ma:displayName="Responsivo" ma:description="Se o recurso roda em diferentes plataformas" ma:format="Dropdown" ma:internalName="Responsivo">
      <xsd:simpleType>
        <xsd:restriction base="dms:Choice">
          <xsd:enumeration value="Sim"/>
          <xsd:enumeration value="Não"/>
        </xsd:restriction>
      </xsd:simpleType>
    </xsd:element>
    <xsd:element name="AutordoRecurso" ma:index="25" nillable="true" ma:displayName="Autor do Recurso" ma:format="Dropdown" ma:internalName="AutordoRecurso">
      <xsd:simpleType>
        <xsd:restriction base="dms:Text">
          <xsd:maxLength value="255"/>
        </xsd:restriction>
      </xsd:simpleType>
    </xsd:element>
    <xsd:element name="Restri_x00e7__x00f5_esdeUso" ma:index="26" nillable="true" ma:displayName="Restrições de Uso" ma:format="Dropdown" ma:internalName="Restri_x00e7__x00f5_esdeUso">
      <xsd:simpleType>
        <xsd:restriction base="dms:Note">
          <xsd:maxLength value="255"/>
        </xsd:restriction>
      </xsd:simpleType>
    </xsd:element>
    <xsd:element name="Temas" ma:index="27" nillable="true" ma:displayName="Temas" ma:format="Dropdown" ma:internalName="Temas">
      <xsd:simpleType>
        <xsd:restriction base="dms:Text">
          <xsd:maxLength value="255"/>
        </xsd:restriction>
      </xsd:simpleType>
    </xsd:element>
    <xsd:element name="PalavrasChave" ma:index="28" nillable="true" ma:displayName="Palavras Chave" ma:description="Inserir, no mínimo, duas palavras." ma:format="Dropdown" ma:internalName="PalavrasChave">
      <xsd:simpleType>
        <xsd:restriction base="dms:Text">
          <xsd:maxLength value="255"/>
        </xsd:restriction>
      </xsd:simpleType>
    </xsd:element>
    <xsd:element name="Descri_x00e7__x00e3_oGeral" ma:index="29" nillable="true" ma:displayName="Descrição Geral" ma:format="Dropdown" ma:internalName="Descri_x00e7__x00e3_oGeral">
      <xsd:simpleType>
        <xsd:restriction base="dms:Note">
          <xsd:maxLength value="255"/>
        </xsd:restriction>
      </xsd:simpleType>
    </xsd:element>
    <xsd:element name="Pago" ma:index="30" nillable="true" ma:displayName="Pago" ma:format="Dropdown" ma:internalName="Pago">
      <xsd:simpleType>
        <xsd:restriction base="dms:Choice">
          <xsd:enumeration value="Sim"/>
          <xsd:enumeration value="Não"/>
        </xsd:restriction>
      </xsd:simpleType>
    </xsd:element>
    <xsd:element name="Situa_x00e7__x00e3_odeAprendizagem_x002f_Estrat_x00e9_gia_x002f_Pr_x00e1_ticaRelacionada" ma:index="31" nillable="true" ma:displayName="Situação de Aprendizagem / Estratégia / Prática Relacionada" ma:format="Dropdown" ma:internalName="Situa_x00e7__x00e3_odeAprendizagem_x002f_Estrat_x00e9_gia_x002f_Pr_x00e1_ticaRelacionada">
      <xsd:simpleType>
        <xsd:restriction base="dms:Note">
          <xsd:maxLength value="255"/>
        </xsd:restriction>
      </xsd:simpleType>
    </xsd:element>
    <xsd:element name="MediaServiceAutoKeyPoints" ma:index="3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e03918-918d-43f2-ab06-80e39ef12aa1" elementFormDefault="qualified">
    <xsd:import namespace="http://schemas.microsoft.com/office/2006/documentManagement/types"/>
    <xsd:import namespace="http://schemas.microsoft.com/office/infopath/2007/PartnerControls"/>
    <xsd:element name="SharedWithUsers" ma:index="3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escri_x00e7__x00e3_oGeral xmlns="945e57da-c50d-42e8-ab32-7d1106145708" xsi:nil="true"/>
    <Responsivo xmlns="945e57da-c50d-42e8-ab32-7d1106145708">true</Responsivo>
    <Pago xmlns="945e57da-c50d-42e8-ab32-7d1106145708">true</Pago>
    <Curso xmlns="945e57da-c50d-42e8-ab32-7d1106145708"/>
    <OutrosCursos xmlns="945e57da-c50d-42e8-ab32-7d1106145708" xsi:nil="true"/>
    <GD xmlns="945e57da-c50d-42e8-ab32-7d1106145708">GD2</GD>
    <Sub_x00e1_rea xmlns="945e57da-c50d-42e8-ab32-7d1106145708">Gestão em TI e Desenvolvimento de Sistemas</Sub_x00e1_rea>
    <PalavrasChave xmlns="945e57da-c50d-42e8-ab32-7d1106145708" xsi:nil="true"/>
    <Situa_x00e7__x00e3_odeAprendizagem_x002f_Estrat_x00e9_gia_x002f_Pr_x00e1_ticaRelacionada xmlns="945e57da-c50d-42e8-ab32-7d1106145708" xsi:nil="true"/>
    <UnidadeCurricular xmlns="945e57da-c50d-42e8-ab32-7d1106145708" xsi:nil="true"/>
    <TipoRecurso xmlns="945e57da-c50d-42e8-ab32-7d1106145708" xsi:nil="true"/>
    <Modalidade xmlns="945e57da-c50d-42e8-ab32-7d1106145708">Habilitação Profissional Técnica De Nível Médio</Modalidade>
    <Temas xmlns="945e57da-c50d-42e8-ab32-7d1106145708" xsi:nil="true"/>
    <Restri_x00e7__x00f5_esdeUso xmlns="945e57da-c50d-42e8-ab32-7d1106145708" xsi:nil="true"/>
    <Elemento_x002b_Recorte xmlns="945e57da-c50d-42e8-ab32-7d1106145708" xsi:nil="true"/>
    <_x00c1_rea xmlns="945e57da-c50d-42e8-ab32-7d1106145708">Tecnologia e Informação</_x00c1_rea>
    <AutordoRecurso xmlns="945e57da-c50d-42e8-ab32-7d1106145708" xsi:nil="true"/>
  </documentManagement>
</p:properties>
</file>

<file path=customXml/itemProps1.xml><?xml version="1.0" encoding="utf-8"?>
<ds:datastoreItem xmlns:ds="http://schemas.openxmlformats.org/officeDocument/2006/customXml" ds:itemID="{6F5BC460-4453-4E48-90EE-F7461AC730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45e57da-c50d-42e8-ab32-7d1106145708"/>
    <ds:schemaRef ds:uri="7be03918-918d-43f2-ab06-80e39ef12a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4885F24-A6B5-4EF4-868D-D1610534A8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C9B957-2306-4B51-9F14-010AF7B739D7}">
  <ds:schemaRefs>
    <ds:schemaRef ds:uri="http://schemas.microsoft.com/office/2006/metadata/properties"/>
    <ds:schemaRef ds:uri="http://schemas.microsoft.com/office/infopath/2007/PartnerControls"/>
    <ds:schemaRef ds:uri="945e57da-c50d-42e8-ab32-7d110614570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Rept_SE</vt:lpstr>
      <vt:lpstr>Exemplo1</vt:lpstr>
      <vt:lpstr>Exemplo2</vt:lpstr>
      <vt:lpstr>Exemplo3</vt:lpstr>
      <vt:lpstr>Exemplo4_Resumo</vt:lpstr>
      <vt:lpstr>Exemplo4</vt:lpstr>
      <vt:lpstr>Exemplo5</vt:lpstr>
      <vt:lpstr>Exemplo6</vt:lpstr>
      <vt:lpstr>Exemplo7</vt:lpstr>
      <vt:lpstr>Exemplo8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</dc:creator>
  <cp:lastModifiedBy>GUSTAVO SILVA DE OLIVEIRA</cp:lastModifiedBy>
  <cp:lastPrinted>2022-05-03T00:32:36Z</cp:lastPrinted>
  <dcterms:created xsi:type="dcterms:W3CDTF">2015-02-14T17:36:10Z</dcterms:created>
  <dcterms:modified xsi:type="dcterms:W3CDTF">2022-05-03T01:13:30Z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0x0101009BF8F20DACDC524AA97E5D5AD11D1010</vt:lpwstr>
  </property>
</Properties>
</file>