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 com DashBoard/Aula 3/"/>
    </mc:Choice>
  </mc:AlternateContent>
  <xr:revisionPtr revIDLastSave="130" documentId="8_{64E6EFA8-028F-4425-A5C1-D3027D0EE0D1}" xr6:coauthVersionLast="47" xr6:coauthVersionMax="47" xr10:uidLastSave="{88527F5E-3B3D-4728-B350-63040FE3DDD8}"/>
  <bookViews>
    <workbookView xWindow="-120" yWindow="-120" windowWidth="21840" windowHeight="13140" activeTab="2" xr2:uid="{00000000-000D-0000-FFFF-FFFF00000000}"/>
  </bookViews>
  <sheets>
    <sheet name="Planilha1" sheetId="2" r:id="rId1"/>
    <sheet name="Planilha2" sheetId="3" r:id="rId2"/>
    <sheet name="Dashboard" sheetId="4" r:id="rId3"/>
    <sheet name="CONTAS" sheetId="1" r:id="rId4"/>
  </sheets>
  <definedNames>
    <definedName name="_xlnm._FilterDatabase" localSheetId="3" hidden="1">CONTAS!$A$1:$F$56</definedName>
    <definedName name="Categoria">#REF!</definedName>
    <definedName name="feriados">#REF!</definedName>
    <definedName name="NativeTimeline_Data">#N/A</definedName>
    <definedName name="SegmentaçãodeDados_Banco">#N/A</definedName>
    <definedName name="SegmentaçãodeDados_Movimento">#N/A</definedName>
  </definedNames>
  <calcPr calcId="191029"/>
  <pivotCaches>
    <pivotCache cacheId="325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<sst xmlns="http://schemas.openxmlformats.org/spreadsheetml/2006/main" count="394" uniqueCount="60">
  <si>
    <t>Data</t>
  </si>
  <si>
    <t>Valor</t>
  </si>
  <si>
    <t>Material de escritório</t>
  </si>
  <si>
    <t>Grupo</t>
  </si>
  <si>
    <t>Descrição</t>
  </si>
  <si>
    <t>Banco</t>
  </si>
  <si>
    <t>Eventual</t>
  </si>
  <si>
    <t>Mensal</t>
  </si>
  <si>
    <t>Lazer</t>
  </si>
  <si>
    <t>Conta de Gás</t>
  </si>
  <si>
    <t>Itaú</t>
  </si>
  <si>
    <t>Bradesco</t>
  </si>
  <si>
    <t>Banco do Brasil</t>
  </si>
  <si>
    <t>Serviços de Informática</t>
  </si>
  <si>
    <t>Aluguel de filmes</t>
  </si>
  <si>
    <t>Conta de Luz</t>
  </si>
  <si>
    <t>TV a Cabo</t>
  </si>
  <si>
    <t>Viagem Salvador</t>
  </si>
  <si>
    <t>Restaurante Boa Refeição</t>
  </si>
  <si>
    <t>Comissões sobre serviços</t>
  </si>
  <si>
    <t>Supermercado</t>
  </si>
  <si>
    <t>Pagamento Empréstimo</t>
  </si>
  <si>
    <t>Roupas</t>
  </si>
  <si>
    <t>Empréstimo feito ao Salvador</t>
  </si>
  <si>
    <t>Salário Janaina</t>
  </si>
  <si>
    <t>Cinema e jantar</t>
  </si>
  <si>
    <t>Sapatos</t>
  </si>
  <si>
    <t>Empréstimo</t>
  </si>
  <si>
    <t>Doação</t>
  </si>
  <si>
    <t>Viagem Campinas</t>
  </si>
  <si>
    <t>Churrasco</t>
  </si>
  <si>
    <t>Ladrilhos - reforma</t>
  </si>
  <si>
    <t>Encanador</t>
  </si>
  <si>
    <t>Livros</t>
  </si>
  <si>
    <t>Jantar</t>
  </si>
  <si>
    <t>Passeio</t>
  </si>
  <si>
    <t>Teatro e jantar</t>
  </si>
  <si>
    <t>Açougue</t>
  </si>
  <si>
    <t>Presente de casamento</t>
  </si>
  <si>
    <t>Viagem Buenos Aires</t>
  </si>
  <si>
    <t>Compras em Buenos Aires</t>
  </si>
  <si>
    <t>Movimento</t>
  </si>
  <si>
    <t>Saída</t>
  </si>
  <si>
    <t>Entrada</t>
  </si>
  <si>
    <t>Santander</t>
  </si>
  <si>
    <t>Soma de Valor</t>
  </si>
  <si>
    <t>Rótulos de Linha</t>
  </si>
  <si>
    <t>Total Geral</t>
  </si>
  <si>
    <t>Rótulos de Coluna</t>
  </si>
  <si>
    <t>(Tudo)</t>
  </si>
  <si>
    <t>jan</t>
  </si>
  <si>
    <t>fev</t>
  </si>
  <si>
    <t>mar</t>
  </si>
  <si>
    <t>abr</t>
  </si>
  <si>
    <t>mai</t>
  </si>
  <si>
    <t>jun</t>
  </si>
  <si>
    <t>out</t>
  </si>
  <si>
    <t>nov</t>
  </si>
  <si>
    <t>dez</t>
  </si>
  <si>
    <t>Painel Dashboard - Movimento Bancário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</si>
</sst>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3">
    <xf numFmtId="0" fontId="0" fillId="0" borderId="0" xfId="0"/>
    <xf numFmtId="44" fontId="0" fillId="0" borderId="0" xfId="1" applyFont="1"/>
    <xf numFmtId="0" fontId="2" fillId="0" borderId="1" xfId="0" applyFont="1" applyBorder="1"/>
    <xf numFmtId="44" fontId="0" fillId="0" borderId="1" xfId="1" applyFont="1" applyBorder="1"/>
    <xf numFmtId="0" fontId="2" fillId="0" borderId="2" xfId="0" applyFont="1" applyBorder="1"/>
    <xf numFmtId="44" fontId="0" fillId="0" borderId="2" xfId="1" applyFont="1" applyBorder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0" fontId="0" fillId="0" borderId="0" xfId="0" applyNumberFormat="1"/>
    <xf numFmtId="0" fontId="0" fillId="0" borderId="2" xfId="0" applyBorder="1" applyAlignment="1">
      <alignment horizontal="left"/>
    </xf>
    <xf numFmtId="14" fontId="0" fillId="0" borderId="3" xfId="0" applyNumberFormat="1" applyBorder="1"/>
    <xf numFmtId="14" fontId="0" fillId="0" borderId="4" xfId="0" applyNumberFormat="1" applyBorder="1"/>
    <xf numFmtId="0" fontId="2" fillId="0" borderId="5" xfId="0" applyFont="1" applyBorder="1"/>
    <xf numFmtId="0" fontId="2" fillId="0" borderId="6" xfId="0" applyFont="1" applyBorder="1"/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44" fontId="3" fillId="2" borderId="8" xfId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14" fontId="0" fillId="0" borderId="10" xfId="0" applyNumberFormat="1" applyBorder="1"/>
    <xf numFmtId="0" fontId="0" fillId="0" borderId="11" xfId="0" applyBorder="1"/>
    <xf numFmtId="0" fontId="2" fillId="0" borderId="11" xfId="0" applyFont="1" applyBorder="1"/>
    <xf numFmtId="0" fontId="0" fillId="0" borderId="11" xfId="0" applyBorder="1" applyAlignment="1">
      <alignment horizontal="left"/>
    </xf>
    <xf numFmtId="44" fontId="0" fillId="0" borderId="11" xfId="1" applyFont="1" applyBorder="1"/>
    <xf numFmtId="0" fontId="2" fillId="0" borderId="12" xfId="0" applyFont="1" applyBorder="1"/>
  </cellXfs>
  <cellStyles count="2">
    <cellStyle name="Moeda" xfId="1" builtinId="4"/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Dashboart Tabela Dinâmica - CONTROLE BANCARIO.xlsm]Planilha2!Tabela dinâmica3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Planilha2!$B$3:$B$5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Planilha2!$B$6:$B$10</c:f>
              <c:numCache>
                <c:formatCode>General</c:formatCode>
                <c:ptCount val="4"/>
                <c:pt idx="0">
                  <c:v>440</c:v>
                </c:pt>
                <c:pt idx="1">
                  <c:v>30</c:v>
                </c:pt>
                <c:pt idx="2">
                  <c:v>23834</c:v>
                </c:pt>
                <c:pt idx="3">
                  <c:v>35800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E-40DB-95B2-A848BDD8702E}"/>
            </c:ext>
          </c:extLst>
        </c:ser>
        <c:ser>
          <c:idx val="1"/>
          <c:order val="1"/>
          <c:tx>
            <c:strRef>
              <c:f>Planilha2!$C$3:$C$5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Planilha2!$C$6:$C$10</c:f>
              <c:numCache>
                <c:formatCode>General</c:formatCode>
                <c:ptCount val="4"/>
                <c:pt idx="1">
                  <c:v>3435</c:v>
                </c:pt>
                <c:pt idx="2">
                  <c:v>134</c:v>
                </c:pt>
                <c:pt idx="3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55E-40DB-95B2-A848BDD8702E}"/>
            </c:ext>
          </c:extLst>
        </c:ser>
        <c:ser>
          <c:idx val="2"/>
          <c:order val="2"/>
          <c:tx>
            <c:strRef>
              <c:f>Planilha2!$D$3:$D$5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Planilha2!$D$6:$D$10</c:f>
              <c:numCache>
                <c:formatCode>General</c:formatCode>
                <c:ptCount val="4"/>
                <c:pt idx="0">
                  <c:v>2300</c:v>
                </c:pt>
                <c:pt idx="1">
                  <c:v>4800</c:v>
                </c:pt>
                <c:pt idx="2">
                  <c:v>25400</c:v>
                </c:pt>
                <c:pt idx="3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55E-40DB-95B2-A848BDD8702E}"/>
            </c:ext>
          </c:extLst>
        </c:ser>
        <c:ser>
          <c:idx val="3"/>
          <c:order val="3"/>
          <c:tx>
            <c:strRef>
              <c:f>Planilha2!$E$3:$E$5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Planilha2!$E$6:$E$10</c:f>
              <c:numCache>
                <c:formatCode>General</c:formatCode>
                <c:ptCount val="4"/>
                <c:pt idx="0">
                  <c:v>25500</c:v>
                </c:pt>
                <c:pt idx="1">
                  <c:v>1260</c:v>
                </c:pt>
                <c:pt idx="2">
                  <c:v>354.78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55E-40DB-95B2-A848BDD8702E}"/>
            </c:ext>
          </c:extLst>
        </c:ser>
        <c:ser>
          <c:idx val="4"/>
          <c:order val="4"/>
          <c:tx>
            <c:strRef>
              <c:f>Planilha2!$F$3:$F$5</c:f>
              <c:strCache>
                <c:ptCount val="1"/>
                <c:pt idx="0">
                  <c:v>mai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Planilha2!$F$6:$F$10</c:f>
              <c:numCache>
                <c:formatCode>General</c:formatCode>
                <c:ptCount val="4"/>
                <c:pt idx="0">
                  <c:v>23410</c:v>
                </c:pt>
                <c:pt idx="1">
                  <c:v>4850</c:v>
                </c:pt>
                <c:pt idx="2">
                  <c:v>660</c:v>
                </c:pt>
                <c:pt idx="3">
                  <c:v>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55E-40DB-95B2-A848BDD8702E}"/>
            </c:ext>
          </c:extLst>
        </c:ser>
        <c:ser>
          <c:idx val="5"/>
          <c:order val="5"/>
          <c:tx>
            <c:strRef>
              <c:f>Planilha2!$G$3:$G$5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Planilha2!$G$6:$G$10</c:f>
              <c:numCache>
                <c:formatCode>General</c:formatCode>
                <c:ptCount val="4"/>
                <c:pt idx="1">
                  <c:v>258</c:v>
                </c:pt>
                <c:pt idx="2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55E-40DB-95B2-A848BDD8702E}"/>
            </c:ext>
          </c:extLst>
        </c:ser>
        <c:ser>
          <c:idx val="6"/>
          <c:order val="6"/>
          <c:tx>
            <c:strRef>
              <c:f>Planilha2!$H$3:$H$5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Planilha2!$H$6:$H$10</c:f>
              <c:numCache>
                <c:formatCode>General</c:formatCode>
                <c:ptCount val="4"/>
                <c:pt idx="0">
                  <c:v>1520</c:v>
                </c:pt>
                <c:pt idx="1">
                  <c:v>3480</c:v>
                </c:pt>
                <c:pt idx="2">
                  <c:v>24360</c:v>
                </c:pt>
                <c:pt idx="3">
                  <c:v>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55E-40DB-95B2-A848BDD8702E}"/>
            </c:ext>
          </c:extLst>
        </c:ser>
        <c:ser>
          <c:idx val="7"/>
          <c:order val="7"/>
          <c:tx>
            <c:strRef>
              <c:f>Planilha2!$I$3:$I$5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Planilha2!$I$6:$I$10</c:f>
              <c:numCache>
                <c:formatCode>General</c:formatCode>
                <c:ptCount val="4"/>
                <c:pt idx="0">
                  <c:v>270</c:v>
                </c:pt>
                <c:pt idx="1">
                  <c:v>4600</c:v>
                </c:pt>
                <c:pt idx="3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55E-40DB-95B2-A848BDD8702E}"/>
            </c:ext>
          </c:extLst>
        </c:ser>
        <c:ser>
          <c:idx val="8"/>
          <c:order val="8"/>
          <c:tx>
            <c:strRef>
              <c:f>Planilha2!$J$3:$J$5</c:f>
              <c:strCache>
                <c:ptCount val="1"/>
                <c:pt idx="0">
                  <c:v>dez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Planilha2!$A$6:$A$10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Planilha2!$J$6:$J$10</c:f>
              <c:numCache>
                <c:formatCode>General</c:formatCode>
                <c:ptCount val="4"/>
                <c:pt idx="0">
                  <c:v>96000</c:v>
                </c:pt>
                <c:pt idx="1">
                  <c:v>37860</c:v>
                </c:pt>
                <c:pt idx="2">
                  <c:v>2460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55E-40DB-95B2-A848BDD8702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204581375"/>
        <c:axId val="204579711"/>
      </c:barChart>
      <c:catAx>
        <c:axId val="20458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579711"/>
        <c:crosses val="autoZero"/>
        <c:auto val="1"/>
        <c:lblAlgn val="ctr"/>
        <c:lblOffset val="100"/>
        <c:noMultiLvlLbl val="0"/>
      </c:catAx>
      <c:valAx>
        <c:axId val="2045797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4581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Dashboart Tabela Dinâmica - CONTROLE BANCARIO.xlsm]Planilha1!Tabela dinâmica1</c:name>
    <c:fmtId val="6"/>
  </c:pivotSource>
  <c:chart>
    <c:autoTitleDeleted val="1"/>
    <c:pivotFmts>
      <c:pivotFmt>
        <c:idx val="0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Planilha1!$B$3:$B$4</c:f>
              <c:strCache>
                <c:ptCount val="1"/>
                <c:pt idx="0">
                  <c:v>Entrada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Planilha1!$A$5:$A$9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Planilha1!$B$5:$B$9</c:f>
              <c:numCache>
                <c:formatCode>_("R$"* #,##0.00_);_("R$"* \(#,##0.00\);_("R$"* "-"??_);_(@_)</c:formatCode>
                <c:ptCount val="4"/>
                <c:pt idx="0">
                  <c:v>144500</c:v>
                </c:pt>
                <c:pt idx="1">
                  <c:v>35620</c:v>
                </c:pt>
                <c:pt idx="2">
                  <c:v>95700</c:v>
                </c:pt>
                <c:pt idx="3">
                  <c:v>23800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14-4A61-BBFE-3D8483E6DFAE}"/>
            </c:ext>
          </c:extLst>
        </c:ser>
        <c:ser>
          <c:idx val="1"/>
          <c:order val="1"/>
          <c:tx>
            <c:strRef>
              <c:f>Planilha1!$C$3:$C$4</c:f>
              <c:strCache>
                <c:ptCount val="1"/>
                <c:pt idx="0">
                  <c:v>Saída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Planilha1!$A$5:$A$9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Planilha1!$C$5:$C$9</c:f>
              <c:numCache>
                <c:formatCode>_("R$"* #,##0.00_);_("R$"* \(#,##0.00\);_("R$"* "-"??_);_(@_)</c:formatCode>
                <c:ptCount val="4"/>
                <c:pt idx="0">
                  <c:v>4940</c:v>
                </c:pt>
                <c:pt idx="1">
                  <c:v>24953</c:v>
                </c:pt>
                <c:pt idx="2">
                  <c:v>5502.78</c:v>
                </c:pt>
                <c:pt idx="3">
                  <c:v>34647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14-4A61-BBFE-3D8483E6DF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621762335"/>
        <c:axId val="1621760255"/>
      </c:barChart>
      <c:catAx>
        <c:axId val="1621762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1760255"/>
        <c:crosses val="autoZero"/>
        <c:auto val="1"/>
        <c:lblAlgn val="ctr"/>
        <c:lblOffset val="100"/>
        <c:noMultiLvlLbl val="0"/>
      </c:catAx>
      <c:valAx>
        <c:axId val="1621760255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176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Dashboart Tabela Dinâmica - CONTROLE BANCARIO.xlsm]Planilha1!Tabela dinâmica2</c:name>
    <c:fmtId val="7"/>
  </c:pivotSource>
  <c:chart>
    <c:title>
      <c:tx>
        <c:strRef>
          <c:f>Planilha1!$B$18</c:f>
          <c:strCache>
            <c:ptCount val="1"/>
            <c:pt idx="0">
              <c:v>(Tudo)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Planilha1!$B$20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B2-49A9-8B54-76D7CC4AF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B2-49A9-8B54-76D7CC4AF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CB2-49A9-8B54-76D7CC4AF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CB2-49A9-8B54-76D7CC4AFC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Planilha1!$A$21:$A$25</c:f>
              <c:strCache>
                <c:ptCount val="4"/>
                <c:pt idx="0">
                  <c:v>Banco do Brasil</c:v>
                </c:pt>
                <c:pt idx="1">
                  <c:v>Bradesco</c:v>
                </c:pt>
                <c:pt idx="2">
                  <c:v>Itaú</c:v>
                </c:pt>
                <c:pt idx="3">
                  <c:v>Santander</c:v>
                </c:pt>
              </c:strCache>
            </c:strRef>
          </c:cat>
          <c:val>
            <c:numRef>
              <c:f>Planilha1!$B$21:$B$25</c:f>
              <c:numCache>
                <c:formatCode>0.00%</c:formatCode>
                <c:ptCount val="4"/>
                <c:pt idx="0">
                  <c:v>0.40426033694817742</c:v>
                </c:pt>
                <c:pt idx="1">
                  <c:v>0.16386015384075181</c:v>
                </c:pt>
                <c:pt idx="2">
                  <c:v>0.27377054297973952</c:v>
                </c:pt>
                <c:pt idx="3">
                  <c:v>0.15810896623133114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B2-49A9-8B54-76D7CC4AFC2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340178</xdr:colOff>
      <xdr:row>23</xdr:row>
      <xdr:rowOff>79168</xdr:rowOff>
    </xdr:from>
    <xdr:to>
      <xdr:col>16</xdr:col>
      <xdr:colOff>4947</xdr:colOff>
      <xdr:row>42</xdr:row>
      <xdr:rowOff>59668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AF1C8AB-2262-489D-98CD-2BD888DDA3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27214</xdr:colOff>
      <xdr:row>1</xdr:row>
      <xdr:rowOff>13606</xdr:rowOff>
    </xdr:from>
    <xdr:to>
      <xdr:col>4</xdr:col>
      <xdr:colOff>421822</xdr:colOff>
      <xdr:row>5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Banco">
              <a:extLst>
                <a:ext uri="{FF2B5EF4-FFF2-40B4-BE49-F238E27FC236}">
                  <a16:creationId xmlns:a16="http://schemas.microsoft.com/office/drawing/2014/main" id="{BFC83160-6FA9-47AF-AB08-2B580463AA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c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214" y="380999"/>
              <a:ext cx="4245429" cy="1455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435429</xdr:colOff>
      <xdr:row>1</xdr:row>
      <xdr:rowOff>2405</xdr:rowOff>
    </xdr:from>
    <xdr:to>
      <xdr:col>7</xdr:col>
      <xdr:colOff>517071</xdr:colOff>
      <xdr:row>5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Movimento">
              <a:extLst>
                <a:ext uri="{FF2B5EF4-FFF2-40B4-BE49-F238E27FC236}">
                  <a16:creationId xmlns:a16="http://schemas.microsoft.com/office/drawing/2014/main" id="{18CABFBD-E83C-47F1-971F-C5D0FEF9FC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vi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86250" y="369798"/>
              <a:ext cx="1918607" cy="14671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357869</xdr:colOff>
      <xdr:row>5</xdr:row>
      <xdr:rowOff>40820</xdr:rowOff>
    </xdr:from>
    <xdr:to>
      <xdr:col>7</xdr:col>
      <xdr:colOff>78247</xdr:colOff>
      <xdr:row>23</xdr:row>
      <xdr:rowOff>34928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C37E88B0-CEAD-4146-B571-F8B9D0BF5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106385</xdr:colOff>
      <xdr:row>5</xdr:row>
      <xdr:rowOff>39088</xdr:rowOff>
    </xdr:from>
    <xdr:to>
      <xdr:col>16</xdr:col>
      <xdr:colOff>22210</xdr:colOff>
      <xdr:row>23</xdr:row>
      <xdr:rowOff>33196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AA8E8E6-55AE-49CD-B029-057079D70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517071</xdr:colOff>
      <xdr:row>1</xdr:row>
      <xdr:rowOff>0</xdr:rowOff>
    </xdr:from>
    <xdr:to>
      <xdr:col>13</xdr:col>
      <xdr:colOff>476251</xdr:colOff>
      <xdr:row>4</xdr:row>
      <xdr:rowOff>353786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3" name="Data">
              <a:extLst>
                <a:ext uri="{FF2B5EF4-FFF2-40B4-BE49-F238E27FC236}">
                  <a16:creationId xmlns:a16="http://schemas.microsoft.com/office/drawing/2014/main" id="{4A5F105D-52AA-4F4C-9EDC-D822D733F7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04857" y="367393"/>
              <a:ext cx="3633108" cy="14559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556534</xdr:colOff>
          <xdr:row>1</xdr:row>
          <xdr:rowOff>80283</xdr:rowOff>
        </xdr:from>
        <xdr:to>
          <xdr:col>16</xdr:col>
          <xdr:colOff>462643</xdr:colOff>
          <xdr:row>4</xdr:row>
          <xdr:rowOff>231322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SILVA DE OLIVEIRA" refreshedDate="44687.878948495367" createdVersion="7" refreshedVersion="7" minRefreshableVersion="3" recordCount="87" xr:uid="{727A3A11-4439-4EA5-84E8-991210723D5D}">
  <cacheSource type="worksheet">
    <worksheetSource name="Tabela1"/>
  </cacheSource>
  <cacheFields count="7">
    <cacheField name="Data" numFmtId="14">
      <sharedItems containsSemiMixedTypes="0" containsNonDate="0" containsDate="1" containsString="0" minDate="2015-01-05T00:00:00" maxDate="2015-12-24T00:00:00" count="43">
        <d v="2015-01-05T00:00:00"/>
        <d v="2015-01-07T00:00:00"/>
        <d v="2015-01-10T00:00:00"/>
        <d v="2015-01-18T00:00:00"/>
        <d v="2015-01-20T00:00:00"/>
        <d v="2015-02-04T00:00:00"/>
        <d v="2015-01-08T00:00:00"/>
        <d v="2015-02-08T00:00:00"/>
        <d v="2015-02-15T00:00:00"/>
        <d v="2015-02-21T00:00:00"/>
        <d v="2015-03-07T00:00:00"/>
        <d v="2015-03-10T00:00:00"/>
        <d v="2015-03-15T00:00:00"/>
        <d v="2015-03-21T00:00:00"/>
        <d v="2015-03-25T00:00:00"/>
        <d v="2015-04-01T00:00:00"/>
        <d v="2015-04-05T00:00:00"/>
        <d v="2015-04-06T00:00:00"/>
        <d v="2015-04-08T00:00:00"/>
        <d v="2015-04-11T00:00:00"/>
        <d v="2015-05-03T00:00:00"/>
        <d v="2015-05-05T00:00:00"/>
        <d v="2015-05-10T00:00:00"/>
        <d v="2015-05-18T00:00:00"/>
        <d v="2015-05-20T00:00:00"/>
        <d v="2015-05-30T00:00:00"/>
        <d v="2015-06-10T00:00:00"/>
        <d v="2015-10-01T00:00:00"/>
        <d v="2015-10-04T00:00:00"/>
        <d v="2015-10-05T00:00:00"/>
        <d v="2015-10-06T00:00:00"/>
        <d v="2015-10-15T00:00:00"/>
        <d v="2015-10-20T00:00:00"/>
        <d v="2015-10-25T00:00:00"/>
        <d v="2015-10-29T00:00:00"/>
        <d v="2015-11-04T00:00:00"/>
        <d v="2015-11-09T00:00:00"/>
        <d v="2015-11-17T00:00:00"/>
        <d v="2015-12-01T00:00:00"/>
        <d v="2015-12-03T00:00:00"/>
        <d v="2015-12-10T00:00:00"/>
        <d v="2015-12-20T00:00:00"/>
        <d v="2015-12-23T00:00:00"/>
      </sharedItems>
      <fieldGroup par="6" base="0">
        <rangePr groupBy="days" startDate="2015-01-05T00:00:00" endDate="2015-12-24T00:00:00"/>
        <groupItems count="368">
          <s v="&lt;05/01/201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4/12/2015"/>
        </groupItems>
      </fieldGroup>
    </cacheField>
    <cacheField name="Grupo" numFmtId="0">
      <sharedItems/>
    </cacheField>
    <cacheField name="Descrição" numFmtId="0">
      <sharedItems/>
    </cacheField>
    <cacheField name="Movimento" numFmtId="0">
      <sharedItems count="2">
        <s v="Saída"/>
        <s v="Entrada"/>
      </sharedItems>
    </cacheField>
    <cacheField name="Valor" numFmtId="44">
      <sharedItems containsSemiMixedTypes="0" containsString="0" containsNumber="1" minValue="30" maxValue="24500"/>
    </cacheField>
    <cacheField name="Banco" numFmtId="0">
      <sharedItems count="4">
        <s v="Itaú"/>
        <s v="Santander"/>
        <s v="Bradesco"/>
        <s v="Banco do Brasil"/>
      </sharedItems>
    </cacheField>
    <cacheField name="Meses" numFmtId="0" databaseField="0">
      <fieldGroup base="0">
        <rangePr groupBy="months" startDate="2015-01-05T00:00:00" endDate="2015-12-24T00:00:00"/>
        <groupItems count="14">
          <s v="&lt;05/01/201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4/12/2015"/>
        </groupItems>
      </fieldGroup>
    </cacheField>
  </cacheFields>
  <extLst>
    <ext xmlns:x14="http://schemas.microsoft.com/office/spreadsheetml/2009/9/main" uri="{725AE2AE-9491-48be-B2B4-4EB974FC3084}">
      <x14:pivotCacheDefinition pivotCacheId="157206169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Mensal"/>
    <s v="Conta de Gás"/>
    <x v="0"/>
    <n v="34"/>
    <x v="0"/>
  </r>
  <r>
    <x v="1"/>
    <s v="Mensal"/>
    <s v="Serviços de Informática"/>
    <x v="1"/>
    <n v="23800"/>
    <x v="1"/>
  </r>
  <r>
    <x v="2"/>
    <s v="Lazer"/>
    <s v="Aluguel de filmes"/>
    <x v="0"/>
    <n v="30"/>
    <x v="2"/>
  </r>
  <r>
    <x v="2"/>
    <s v="Mensal"/>
    <s v="Conta de Luz"/>
    <x v="0"/>
    <n v="120"/>
    <x v="3"/>
  </r>
  <r>
    <x v="3"/>
    <s v="Mensal"/>
    <s v="TV a Cabo"/>
    <x v="0"/>
    <n v="320"/>
    <x v="3"/>
  </r>
  <r>
    <x v="4"/>
    <s v="Lazer"/>
    <s v="Viagem Salvador"/>
    <x v="0"/>
    <n v="12000"/>
    <x v="1"/>
  </r>
  <r>
    <x v="5"/>
    <s v="Lazer"/>
    <s v="Restaurante Boa Refeição"/>
    <x v="0"/>
    <n v="109"/>
    <x v="1"/>
  </r>
  <r>
    <x v="6"/>
    <s v="Mensal"/>
    <s v="Serviços de Informática"/>
    <x v="1"/>
    <n v="23800"/>
    <x v="0"/>
  </r>
  <r>
    <x v="7"/>
    <s v="Eventual"/>
    <s v="Comissões sobre serviços"/>
    <x v="1"/>
    <n v="3200"/>
    <x v="2"/>
  </r>
  <r>
    <x v="8"/>
    <s v="Eventual"/>
    <s v="Supermercado"/>
    <x v="0"/>
    <n v="235"/>
    <x v="2"/>
  </r>
  <r>
    <x v="9"/>
    <s v="Mensal"/>
    <s v="Material de escritório"/>
    <x v="0"/>
    <n v="134"/>
    <x v="0"/>
  </r>
  <r>
    <x v="10"/>
    <s v="Mensal"/>
    <s v="Serviços de Informática"/>
    <x v="1"/>
    <n v="24000"/>
    <x v="0"/>
  </r>
  <r>
    <x v="11"/>
    <s v="Mensal"/>
    <s v="Pagamento Empréstimo"/>
    <x v="0"/>
    <n v="1400"/>
    <x v="0"/>
  </r>
  <r>
    <x v="12"/>
    <s v="Eventual"/>
    <s v="Roupas"/>
    <x v="0"/>
    <n v="300"/>
    <x v="2"/>
  </r>
  <r>
    <x v="13"/>
    <s v="Eventual"/>
    <s v="Comissões sobre serviços"/>
    <x v="1"/>
    <n v="4500"/>
    <x v="2"/>
  </r>
  <r>
    <x v="14"/>
    <s v="Mensal"/>
    <s v="Empréstimo feito ao Salvador"/>
    <x v="1"/>
    <n v="1000"/>
    <x v="3"/>
  </r>
  <r>
    <x v="14"/>
    <s v="Eventual"/>
    <s v="Salário Janaina"/>
    <x v="0"/>
    <n v="1300"/>
    <x v="3"/>
  </r>
  <r>
    <x v="14"/>
    <s v="Lazer"/>
    <s v="Cinema e jantar"/>
    <x v="0"/>
    <n v="230"/>
    <x v="1"/>
  </r>
  <r>
    <x v="15"/>
    <s v="Eventual"/>
    <s v="Sapatos"/>
    <x v="0"/>
    <n v="260"/>
    <x v="2"/>
  </r>
  <r>
    <x v="16"/>
    <s v="Mensal"/>
    <s v="Empréstimo"/>
    <x v="0"/>
    <n v="1000"/>
    <x v="3"/>
  </r>
  <r>
    <x v="16"/>
    <s v="Mensal"/>
    <s v="TV a Cabo"/>
    <x v="0"/>
    <n v="320"/>
    <x v="0"/>
  </r>
  <r>
    <x v="17"/>
    <s v="Eventual"/>
    <s v="Doação"/>
    <x v="0"/>
    <n v="1000"/>
    <x v="2"/>
  </r>
  <r>
    <x v="18"/>
    <s v="Mensal"/>
    <s v="Serviços de Informática"/>
    <x v="1"/>
    <n v="24500"/>
    <x v="3"/>
  </r>
  <r>
    <x v="19"/>
    <s v="Mensal"/>
    <s v="Conta de Gás"/>
    <x v="0"/>
    <n v="34.78"/>
    <x v="0"/>
  </r>
  <r>
    <x v="20"/>
    <s v="Eventual"/>
    <s v="Roupas"/>
    <x v="0"/>
    <n v="290"/>
    <x v="2"/>
  </r>
  <r>
    <x v="21"/>
    <s v="Lazer"/>
    <s v="Viagem Campinas"/>
    <x v="0"/>
    <n v="1200"/>
    <x v="1"/>
  </r>
  <r>
    <x v="21"/>
    <s v="Eventual"/>
    <s v="Comissões sobre serviços"/>
    <x v="1"/>
    <n v="2560"/>
    <x v="2"/>
  </r>
  <r>
    <x v="22"/>
    <s v="Mensal"/>
    <s v="Serviços de Informática"/>
    <x v="1"/>
    <n v="23000"/>
    <x v="3"/>
  </r>
  <r>
    <x v="22"/>
    <s v="Mensal"/>
    <s v="Conta de Luz"/>
    <x v="0"/>
    <n v="120"/>
    <x v="0"/>
  </r>
  <r>
    <x v="23"/>
    <s v="Lazer"/>
    <s v="Churrasco"/>
    <x v="0"/>
    <n v="320"/>
    <x v="1"/>
  </r>
  <r>
    <x v="24"/>
    <s v="Eventual"/>
    <s v="Empréstimo feito ao Salvador"/>
    <x v="1"/>
    <n v="1000"/>
    <x v="2"/>
  </r>
  <r>
    <x v="24"/>
    <s v="Mensal"/>
    <s v="Material de escritório"/>
    <x v="0"/>
    <n v="210"/>
    <x v="3"/>
  </r>
  <r>
    <x v="24"/>
    <s v="Eventual"/>
    <s v="Ladrilhos - reforma"/>
    <x v="0"/>
    <n v="540"/>
    <x v="0"/>
  </r>
  <r>
    <x v="25"/>
    <s v="Eventual"/>
    <s v="Encanador"/>
    <x v="0"/>
    <n v="1000"/>
    <x v="2"/>
  </r>
  <r>
    <x v="25"/>
    <s v="Eventual"/>
    <s v="Livros"/>
    <x v="0"/>
    <n v="200"/>
    <x v="3"/>
  </r>
  <r>
    <x v="26"/>
    <s v="Mensal"/>
    <s v="Serviços de Informática"/>
    <x v="1"/>
    <n v="24000"/>
    <x v="0"/>
  </r>
  <r>
    <x v="26"/>
    <s v="Eventual"/>
    <s v="Supermercado"/>
    <x v="0"/>
    <n v="258"/>
    <x v="2"/>
  </r>
  <r>
    <x v="27"/>
    <s v="Lazer"/>
    <s v="Jantar"/>
    <x v="0"/>
    <n v="290"/>
    <x v="1"/>
  </r>
  <r>
    <x v="27"/>
    <s v="Lazer"/>
    <s v="Passeio"/>
    <x v="0"/>
    <n v="198"/>
    <x v="1"/>
  </r>
  <r>
    <x v="28"/>
    <s v="Lazer"/>
    <s v="Teatro e jantar"/>
    <x v="0"/>
    <n v="300"/>
    <x v="1"/>
  </r>
  <r>
    <x v="28"/>
    <s v="Eventual"/>
    <s v="Açougue"/>
    <x v="0"/>
    <n v="280"/>
    <x v="2"/>
  </r>
  <r>
    <x v="29"/>
    <s v="Mensal"/>
    <s v="TV a Cabo"/>
    <x v="0"/>
    <n v="320"/>
    <x v="3"/>
  </r>
  <r>
    <x v="30"/>
    <s v="Mensal"/>
    <s v="Serviços de Informática"/>
    <x v="1"/>
    <n v="23900"/>
    <x v="0"/>
  </r>
  <r>
    <x v="31"/>
    <s v="Eventual"/>
    <s v="Presente de casamento"/>
    <x v="0"/>
    <n v="200"/>
    <x v="2"/>
  </r>
  <r>
    <x v="32"/>
    <s v="Mensal"/>
    <s v="Empréstimo"/>
    <x v="0"/>
    <n v="1200"/>
    <x v="3"/>
  </r>
  <r>
    <x v="33"/>
    <s v="Mensal"/>
    <s v="Conta de Luz"/>
    <x v="0"/>
    <n v="230"/>
    <x v="0"/>
  </r>
  <r>
    <x v="34"/>
    <s v="Eventual"/>
    <s v="Comissões sobre serviços"/>
    <x v="1"/>
    <n v="1500"/>
    <x v="2"/>
  </r>
  <r>
    <x v="35"/>
    <s v="Lazer"/>
    <s v="Viagem Buenos Aires"/>
    <x v="0"/>
    <n v="10000"/>
    <x v="1"/>
  </r>
  <r>
    <x v="36"/>
    <s v="Eventual"/>
    <s v="Compras em Buenos Aires"/>
    <x v="0"/>
    <n v="2300"/>
    <x v="2"/>
  </r>
  <r>
    <x v="37"/>
    <s v="Mensal"/>
    <s v="Material de escritório"/>
    <x v="0"/>
    <n v="135"/>
    <x v="3"/>
  </r>
  <r>
    <x v="38"/>
    <s v="Mensal"/>
    <s v="Pagamento Empréstimo"/>
    <x v="0"/>
    <n v="1230"/>
    <x v="0"/>
  </r>
  <r>
    <x v="39"/>
    <s v="Eventual"/>
    <s v="Supermercado"/>
    <x v="0"/>
    <n v="450"/>
    <x v="2"/>
  </r>
  <r>
    <x v="40"/>
    <s v="Mensal"/>
    <s v="Serviços de Informática"/>
    <x v="1"/>
    <n v="24000"/>
    <x v="3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0"/>
    <s v="Mensal"/>
    <s v="Serviços de Informática"/>
    <x v="1"/>
    <n v="24000"/>
    <x v="3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33"/>
    <s v="Mensal"/>
    <s v="Conta de Luz"/>
    <x v="0"/>
    <n v="230"/>
    <x v="0"/>
  </r>
  <r>
    <x v="34"/>
    <s v="Eventual"/>
    <s v="Comissões sobre serviços"/>
    <x v="1"/>
    <n v="1500"/>
    <x v="2"/>
  </r>
  <r>
    <x v="35"/>
    <s v="Lazer"/>
    <s v="Viagem Buenos Aires"/>
    <x v="0"/>
    <n v="10000"/>
    <x v="1"/>
  </r>
  <r>
    <x v="36"/>
    <s v="Eventual"/>
    <s v="Compras em Buenos Aires"/>
    <x v="0"/>
    <n v="2300"/>
    <x v="2"/>
  </r>
  <r>
    <x v="37"/>
    <s v="Mensal"/>
    <s v="Material de escritório"/>
    <x v="0"/>
    <n v="135"/>
    <x v="3"/>
  </r>
  <r>
    <x v="38"/>
    <s v="Mensal"/>
    <s v="Pagamento Empréstimo"/>
    <x v="0"/>
    <n v="1230"/>
    <x v="0"/>
  </r>
  <r>
    <x v="39"/>
    <s v="Eventual"/>
    <s v="Supermercado"/>
    <x v="0"/>
    <n v="450"/>
    <x v="2"/>
  </r>
  <r>
    <x v="40"/>
    <s v="Mensal"/>
    <s v="Serviços de Informática"/>
    <x v="1"/>
    <n v="24000"/>
    <x v="3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0"/>
    <s v="Mensal"/>
    <s v="Serviços de Informática"/>
    <x v="1"/>
    <n v="24000"/>
    <x v="3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  <r>
    <x v="41"/>
    <s v="Eventual"/>
    <s v="Comissões sobre serviços"/>
    <x v="1"/>
    <n v="1780"/>
    <x v="2"/>
  </r>
  <r>
    <x v="42"/>
    <s v="Eventual"/>
    <s v="Salário Janaina"/>
    <x v="0"/>
    <n v="13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A2ACF5-01E5-4807-AA52-55F4317E2497}" name="Tabela dinâmica1" cacheId="325" applyNumberFormats="0" applyBorderFormats="0" applyFontFormats="0" applyPatternFormats="0" applyAlignmentFormats="0" applyWidthHeightFormats="1" dataCaption="Valores" updatedVersion="7" minRefreshableVersion="3" useAutoFormatting="1" colGrandTotals="0" itemPrintTitles="1" createdVersion="7" indent="0" outline="1" outlineData="1" multipleFieldFilters="0" chartFormat="7">
  <location ref="A3:C9" firstHeaderRow="1" firstDataRow="2" firstDataCol="1"/>
  <pivotFields count="7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Col" showAll="0">
      <items count="3">
        <item x="1"/>
        <item x="0"/>
        <item t="default"/>
      </items>
    </pivotField>
    <pivotField dataField="1" numFmtId="44" showAll="0"/>
    <pivotField axis="axisRow" showAll="0">
      <items count="5">
        <item x="3"/>
        <item x="2"/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2">
    <i>
      <x/>
    </i>
    <i>
      <x v="1"/>
    </i>
  </colItems>
  <dataFields count="1">
    <dataField name="Soma de Valor" fld="4" baseField="5" baseItem="1" numFmtId="44"/>
  </dataFields>
  <chartFormats count="3"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3397B1-8074-4557-BCD9-ED6AF7237DFE}" name="Tabela dinâmica2" cacheId="325" applyNumberFormats="0" applyBorderFormats="0" applyFontFormats="0" applyPatternFormats="0" applyAlignmentFormats="0" applyWidthHeightFormats="1" dataCaption="Valores" updatedVersion="7" minRefreshableVersion="3" useAutoFormatting="1" colGrandTotals="0" itemPrintTitles="1" createdVersion="7" indent="0" outline="1" outlineData="1" multipleFieldFilters="0" chartFormat="8">
  <location ref="A20:B25" firstHeaderRow="1" firstDataRow="1" firstDataCol="1" rowPageCount="1" colPageCount="1"/>
  <pivotFields count="7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dataField="1" numFmtId="44" showAll="0"/>
    <pivotField axis="axisRow" showAll="0">
      <items count="5">
        <item x="3"/>
        <item x="2"/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Soma de Valor" fld="4" showDataAs="percentOfCol" baseField="0" baseItem="0" numFmtId="10"/>
  </dataFields>
  <chartFormats count="5">
    <chartFormat chart="7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3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4BEDC-179F-4C4A-ABAE-C4F1CE067D45}" name="Tabela dinâmica3" cacheId="32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A3:K10" firstHeaderRow="1" firstDataRow="3" firstDataCol="1" rowPageCount="1" colPageCount="1"/>
  <pivotFields count="7"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dataField="1" numFmtId="44" showAll="0"/>
    <pivotField axis="axisRow" showAll="0">
      <items count="5">
        <item x="3"/>
        <item x="2"/>
        <item x="0"/>
        <item x="1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10"/>
    </i>
    <i>
      <x v="11"/>
    </i>
    <i>
      <x v="12"/>
    </i>
    <i t="grand">
      <x/>
    </i>
  </colItems>
  <pageFields count="1">
    <pageField fld="3" hier="-1"/>
  </pageFields>
  <dataFields count="1">
    <dataField name="Soma de Valor" fld="4" baseField="5" baseItem="2"/>
  </dataFields>
  <chartFormats count="10"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vimento" xr10:uid="{87802EFD-96D8-47DC-9FD6-25BAC9FAF3A7}" sourceName="Movimento">
  <data>
    <tabular pivotCacheId="1572061691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nco" xr10:uid="{44DB80CA-7E18-4DE6-B807-EECE69EEC67E}" sourceName="Banco">
  <data>
    <tabular pivotCacheId="1572061691">
      <items count="4">
        <i x="3" s="1"/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vimento" xr10:uid="{1E345A5C-C032-417E-B570-C8F2B1CE23D0}" cache="SegmentaçãodeDados_Movimento" caption="Movimento" style="SlicerStyleOther2" rowHeight="241300"/>
  <slicer name="Banco" xr10:uid="{5851828F-7F58-4131-8D5C-72BBC464D911}" cache="SegmentaçãodeDados_Banco" caption="Banco" style="SlicerStyleOther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E80E05-70BF-4D70-8EA5-1A1392881925}" name="Tabela1" displayName="Tabela1" ref="A1:F88" totalsRowShown="0" headerRowDxfId="0" headerRowBorderDxfId="8" tableBorderDxfId="9" totalsRowBorderDxfId="7">
  <autoFilter ref="A1:F88" xr:uid="{54E80E05-70BF-4D70-8EA5-1A1392881925}"/>
  <tableColumns count="6">
    <tableColumn id="1" xr3:uid="{8CFE9D25-13AC-4930-9C86-1B83EB22C041}" name="Data" dataDxfId="6"/>
    <tableColumn id="2" xr3:uid="{FD374A26-3A21-4176-9D16-A5EBF911EF94}" name="Grupo" dataDxfId="5"/>
    <tableColumn id="3" xr3:uid="{A0C0BF81-07F3-4AE4-A0D7-40D049EF1D69}" name="Descrição" dataDxfId="4"/>
    <tableColumn id="4" xr3:uid="{19612D04-4A29-406C-B6AB-77B26C34D077}" name="Movimento" dataDxfId="3"/>
    <tableColumn id="5" xr3:uid="{1DD8AF38-18C2-426B-888E-79E51C99FC11}" name="Valor" dataDxfId="2" dataCellStyle="Moeda"/>
    <tableColumn id="6" xr3:uid="{BDE0EEA7-1EE9-4476-92B6-26516DFCC1BC}" name="Banco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088A81F4-B31A-4B9D-BDE5-86E3B90B6406}" sourceName="Data">
  <state minimalRefreshVersion="6" lastRefreshVersion="6" pivotCacheId="1572061691" filterType="unknown">
    <bounds startDate="2015-01-01T00:00:00" endDate="201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0D6B37B2-2EF0-42ED-B073-230489E7FFC7}" cache="NativeTimeline_Data" caption="Data" level="2" selectionLevel="2" scrollPosition="2015-04-26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B86C-1C9F-4F65-8026-9F915CF46891}">
  <sheetPr codeName="Planilha2"/>
  <dimension ref="A3:C25"/>
  <sheetViews>
    <sheetView zoomScale="70" zoomScaleNormal="70" workbookViewId="0">
      <selection activeCell="A20" sqref="A20"/>
    </sheetView>
  </sheetViews>
  <sheetFormatPr defaultRowHeight="15" x14ac:dyDescent="0.25"/>
  <cols>
    <col min="1" max="1" width="24" bestFit="1" customWidth="1"/>
    <col min="2" max="2" width="18.28515625" bestFit="1" customWidth="1"/>
    <col min="3" max="3" width="19.7109375" bestFit="1" customWidth="1"/>
    <col min="4" max="4" width="14.5703125" bestFit="1" customWidth="1"/>
  </cols>
  <sheetData>
    <row r="3" spans="1:3" x14ac:dyDescent="0.25">
      <c r="A3" s="13" t="s">
        <v>45</v>
      </c>
      <c r="B3" s="13" t="s">
        <v>48</v>
      </c>
    </row>
    <row r="4" spans="1:3" x14ac:dyDescent="0.25">
      <c r="A4" s="13" t="s">
        <v>46</v>
      </c>
      <c r="B4" t="s">
        <v>43</v>
      </c>
      <c r="C4" t="s">
        <v>42</v>
      </c>
    </row>
    <row r="5" spans="1:3" x14ac:dyDescent="0.25">
      <c r="A5" s="14" t="s">
        <v>12</v>
      </c>
      <c r="B5" s="15">
        <v>144500</v>
      </c>
      <c r="C5" s="15">
        <v>4940</v>
      </c>
    </row>
    <row r="6" spans="1:3" x14ac:dyDescent="0.25">
      <c r="A6" s="14" t="s">
        <v>11</v>
      </c>
      <c r="B6" s="15">
        <v>35620</v>
      </c>
      <c r="C6" s="15">
        <v>24953</v>
      </c>
    </row>
    <row r="7" spans="1:3" x14ac:dyDescent="0.25">
      <c r="A7" s="14" t="s">
        <v>10</v>
      </c>
      <c r="B7" s="15">
        <v>95700</v>
      </c>
      <c r="C7" s="15">
        <v>5502.78</v>
      </c>
    </row>
    <row r="8" spans="1:3" x14ac:dyDescent="0.25">
      <c r="A8" s="14" t="s">
        <v>44</v>
      </c>
      <c r="B8" s="15">
        <v>23800</v>
      </c>
      <c r="C8" s="15">
        <v>34647</v>
      </c>
    </row>
    <row r="9" spans="1:3" x14ac:dyDescent="0.25">
      <c r="A9" s="14" t="s">
        <v>47</v>
      </c>
      <c r="B9" s="15">
        <v>299620</v>
      </c>
      <c r="C9" s="15">
        <v>70042.78</v>
      </c>
    </row>
    <row r="18" spans="1:2" x14ac:dyDescent="0.25">
      <c r="A18" s="13" t="s">
        <v>41</v>
      </c>
      <c r="B18" t="s">
        <v>49</v>
      </c>
    </row>
    <row r="20" spans="1:2" x14ac:dyDescent="0.25">
      <c r="A20" s="13" t="s">
        <v>46</v>
      </c>
      <c r="B20" t="s">
        <v>45</v>
      </c>
    </row>
    <row r="21" spans="1:2" x14ac:dyDescent="0.25">
      <c r="A21" s="14" t="s">
        <v>12</v>
      </c>
      <c r="B21" s="16">
        <v>0.40426033694817742</v>
      </c>
    </row>
    <row r="22" spans="1:2" x14ac:dyDescent="0.25">
      <c r="A22" s="14" t="s">
        <v>11</v>
      </c>
      <c r="B22" s="16">
        <v>0.16386015384075181</v>
      </c>
    </row>
    <row r="23" spans="1:2" x14ac:dyDescent="0.25">
      <c r="A23" s="14" t="s">
        <v>10</v>
      </c>
      <c r="B23" s="16">
        <v>0.27377054297973952</v>
      </c>
    </row>
    <row r="24" spans="1:2" x14ac:dyDescent="0.25">
      <c r="A24" s="14" t="s">
        <v>44</v>
      </c>
      <c r="B24" s="16">
        <v>0.15810896623133114</v>
      </c>
    </row>
    <row r="25" spans="1:2" x14ac:dyDescent="0.25">
      <c r="A25" s="14" t="s">
        <v>47</v>
      </c>
      <c r="B25" s="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5E4E-B297-43DA-9D65-A30A5BEA4CB7}">
  <sheetPr codeName="Planilha3"/>
  <dimension ref="A1:K10"/>
  <sheetViews>
    <sheetView workbookViewId="0">
      <selection activeCell="A5" sqref="A5"/>
    </sheetView>
  </sheetViews>
  <sheetFormatPr defaultRowHeight="15" x14ac:dyDescent="0.25"/>
  <cols>
    <col min="1" max="1" width="18" bestFit="1" customWidth="1"/>
    <col min="2" max="2" width="19.5703125" bestFit="1" customWidth="1"/>
    <col min="3" max="3" width="5.7109375" bestFit="1" customWidth="1"/>
    <col min="4" max="4" width="6.28515625" bestFit="1" customWidth="1"/>
    <col min="5" max="5" width="9" bestFit="1" customWidth="1"/>
    <col min="6" max="6" width="6.140625" bestFit="1" customWidth="1"/>
    <col min="7" max="8" width="6" bestFit="1" customWidth="1"/>
    <col min="9" max="9" width="6.140625" bestFit="1" customWidth="1"/>
    <col min="10" max="10" width="7" bestFit="1" customWidth="1"/>
    <col min="11" max="11" width="10.7109375" bestFit="1" customWidth="1"/>
    <col min="12" max="12" width="6.7109375" bestFit="1" customWidth="1"/>
    <col min="13" max="13" width="8.7109375" bestFit="1" customWidth="1"/>
    <col min="14" max="18" width="7.28515625" bestFit="1" customWidth="1"/>
    <col min="19" max="19" width="9.28515625" bestFit="1" customWidth="1"/>
    <col min="20" max="24" width="6.7109375" bestFit="1" customWidth="1"/>
    <col min="25" max="25" width="9" bestFit="1" customWidth="1"/>
    <col min="26" max="31" width="7.140625" bestFit="1" customWidth="1"/>
    <col min="32" max="32" width="9.140625" bestFit="1" customWidth="1"/>
    <col min="33" max="33" width="6.7109375" bestFit="1" customWidth="1"/>
    <col min="34" max="34" width="8.7109375" bestFit="1" customWidth="1"/>
    <col min="35" max="42" width="6.85546875" bestFit="1" customWidth="1"/>
    <col min="43" max="43" width="8.85546875" bestFit="1" customWidth="1"/>
    <col min="44" max="46" width="7.140625" bestFit="1" customWidth="1"/>
    <col min="48" max="52" width="7" bestFit="1" customWidth="1"/>
    <col min="53" max="53" width="9" bestFit="1" customWidth="1"/>
    <col min="54" max="54" width="10.7109375" bestFit="1" customWidth="1"/>
  </cols>
  <sheetData>
    <row r="1" spans="1:11" x14ac:dyDescent="0.25">
      <c r="A1" s="13" t="s">
        <v>41</v>
      </c>
      <c r="B1" t="s">
        <v>49</v>
      </c>
    </row>
    <row r="3" spans="1:11" x14ac:dyDescent="0.25">
      <c r="A3" s="13" t="s">
        <v>45</v>
      </c>
      <c r="B3" s="13" t="s">
        <v>48</v>
      </c>
    </row>
    <row r="4" spans="1:11" x14ac:dyDescent="0.25">
      <c r="B4" t="s">
        <v>50</v>
      </c>
      <c r="C4" t="s">
        <v>51</v>
      </c>
      <c r="D4" t="s">
        <v>52</v>
      </c>
      <c r="E4" t="s">
        <v>53</v>
      </c>
      <c r="F4" t="s">
        <v>54</v>
      </c>
      <c r="G4" t="s">
        <v>55</v>
      </c>
      <c r="H4" t="s">
        <v>56</v>
      </c>
      <c r="I4" t="s">
        <v>57</v>
      </c>
      <c r="J4" t="s">
        <v>58</v>
      </c>
      <c r="K4" t="s">
        <v>47</v>
      </c>
    </row>
    <row r="5" spans="1:11" x14ac:dyDescent="0.25">
      <c r="A5" s="13" t="s">
        <v>46</v>
      </c>
    </row>
    <row r="6" spans="1:11" x14ac:dyDescent="0.25">
      <c r="A6" s="14" t="s">
        <v>12</v>
      </c>
      <c r="B6" s="12">
        <v>440</v>
      </c>
      <c r="C6" s="12"/>
      <c r="D6" s="12">
        <v>2300</v>
      </c>
      <c r="E6" s="12">
        <v>25500</v>
      </c>
      <c r="F6" s="12">
        <v>23410</v>
      </c>
      <c r="G6" s="12"/>
      <c r="H6" s="12">
        <v>1520</v>
      </c>
      <c r="I6" s="12">
        <v>270</v>
      </c>
      <c r="J6" s="12">
        <v>96000</v>
      </c>
      <c r="K6" s="12">
        <v>149440</v>
      </c>
    </row>
    <row r="7" spans="1:11" x14ac:dyDescent="0.25">
      <c r="A7" s="14" t="s">
        <v>11</v>
      </c>
      <c r="B7" s="12">
        <v>30</v>
      </c>
      <c r="C7" s="12">
        <v>3435</v>
      </c>
      <c r="D7" s="12">
        <v>4800</v>
      </c>
      <c r="E7" s="12">
        <v>1260</v>
      </c>
      <c r="F7" s="12">
        <v>4850</v>
      </c>
      <c r="G7" s="12">
        <v>258</v>
      </c>
      <c r="H7" s="12">
        <v>3480</v>
      </c>
      <c r="I7" s="12">
        <v>4600</v>
      </c>
      <c r="J7" s="12">
        <v>37860</v>
      </c>
      <c r="K7" s="12">
        <v>60573</v>
      </c>
    </row>
    <row r="8" spans="1:11" x14ac:dyDescent="0.25">
      <c r="A8" s="14" t="s">
        <v>10</v>
      </c>
      <c r="B8" s="12">
        <v>23834</v>
      </c>
      <c r="C8" s="12">
        <v>134</v>
      </c>
      <c r="D8" s="12">
        <v>25400</v>
      </c>
      <c r="E8" s="12">
        <v>354.78</v>
      </c>
      <c r="F8" s="12">
        <v>660</v>
      </c>
      <c r="G8" s="12">
        <v>24000</v>
      </c>
      <c r="H8" s="12">
        <v>24360</v>
      </c>
      <c r="I8" s="12"/>
      <c r="J8" s="12">
        <v>2460</v>
      </c>
      <c r="K8" s="12">
        <v>101202.78</v>
      </c>
    </row>
    <row r="9" spans="1:11" x14ac:dyDescent="0.25">
      <c r="A9" s="14" t="s">
        <v>44</v>
      </c>
      <c r="B9" s="12">
        <v>35800</v>
      </c>
      <c r="C9" s="12">
        <v>109</v>
      </c>
      <c r="D9" s="12">
        <v>230</v>
      </c>
      <c r="E9" s="12"/>
      <c r="F9" s="12">
        <v>1520</v>
      </c>
      <c r="G9" s="12"/>
      <c r="H9" s="12">
        <v>788</v>
      </c>
      <c r="I9" s="12">
        <v>20000</v>
      </c>
      <c r="J9" s="12"/>
      <c r="K9" s="12">
        <v>58447</v>
      </c>
    </row>
    <row r="10" spans="1:11" x14ac:dyDescent="0.25">
      <c r="A10" s="14" t="s">
        <v>47</v>
      </c>
      <c r="B10" s="12">
        <v>60104</v>
      </c>
      <c r="C10" s="12">
        <v>3678</v>
      </c>
      <c r="D10" s="12">
        <v>32730</v>
      </c>
      <c r="E10" s="12">
        <v>27114.78</v>
      </c>
      <c r="F10" s="12">
        <v>30440</v>
      </c>
      <c r="G10" s="12">
        <v>24258</v>
      </c>
      <c r="H10" s="12">
        <v>30148</v>
      </c>
      <c r="I10" s="12">
        <v>24870</v>
      </c>
      <c r="J10" s="12">
        <v>136320</v>
      </c>
      <c r="K10" s="12">
        <v>369662.78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7C0AB-D3B7-4FEE-A04A-57FFF30F9389}">
  <sheetPr codeName="Planilha4"/>
  <dimension ref="A1:Q6"/>
  <sheetViews>
    <sheetView tabSelected="1" zoomScale="70" zoomScaleNormal="70" workbookViewId="0">
      <selection activeCell="S9" sqref="S9"/>
    </sheetView>
  </sheetViews>
  <sheetFormatPr defaultRowHeight="15" x14ac:dyDescent="0.25"/>
  <cols>
    <col min="1" max="1" width="30.28515625" customWidth="1"/>
  </cols>
  <sheetData>
    <row r="1" spans="1:17" ht="28.5" x14ac:dyDescent="0.45">
      <c r="A1" s="11" t="s">
        <v>59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8.5" x14ac:dyDescent="0.45">
      <c r="A2" s="10"/>
      <c r="B2" s="10"/>
      <c r="C2" s="10"/>
      <c r="D2" s="10"/>
      <c r="E2" s="10"/>
      <c r="F2" s="10"/>
      <c r="G2" s="10"/>
      <c r="H2" s="10"/>
      <c r="I2" s="10"/>
      <c r="J2" s="10"/>
    </row>
    <row r="3" spans="1:17" ht="28.5" x14ac:dyDescent="0.45">
      <c r="A3" s="10"/>
      <c r="B3" s="10"/>
      <c r="C3" s="10"/>
      <c r="D3" s="10"/>
      <c r="E3" s="10"/>
      <c r="F3" s="10"/>
      <c r="G3" s="10"/>
      <c r="H3" s="10"/>
      <c r="I3" s="10"/>
      <c r="J3" s="10"/>
    </row>
    <row r="4" spans="1:17" ht="28.5" x14ac:dyDescent="0.45">
      <c r="A4" s="10"/>
      <c r="B4" s="10"/>
      <c r="C4" s="10"/>
      <c r="D4" s="10"/>
      <c r="E4" s="10"/>
      <c r="F4" s="10"/>
      <c r="G4" s="10"/>
      <c r="H4" s="10"/>
      <c r="I4" s="10"/>
      <c r="J4" s="10"/>
    </row>
    <row r="5" spans="1:17" ht="28.5" x14ac:dyDescent="0.45">
      <c r="A5" s="10"/>
      <c r="B5" s="10"/>
      <c r="C5" s="10"/>
      <c r="D5" s="10"/>
      <c r="E5" s="10"/>
      <c r="F5" s="10"/>
      <c r="G5" s="10"/>
      <c r="H5" s="10"/>
      <c r="I5" s="10"/>
      <c r="J5" s="10"/>
    </row>
    <row r="6" spans="1:17" ht="28.5" x14ac:dyDescent="0.45">
      <c r="A6" s="10"/>
      <c r="B6" s="10"/>
      <c r="C6" s="10"/>
      <c r="D6" s="10"/>
      <c r="E6" s="10"/>
      <c r="F6" s="10"/>
      <c r="G6" s="10"/>
      <c r="H6" s="10"/>
      <c r="I6" s="10"/>
      <c r="J6" s="10"/>
    </row>
  </sheetData>
  <mergeCells count="1">
    <mergeCell ref="A1:Q1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9">
                <anchor moveWithCells="1" sizeWithCells="1">
                  <from>
                    <xdr:col>13</xdr:col>
                    <xdr:colOff>552450</xdr:colOff>
                    <xdr:row>1</xdr:row>
                    <xdr:rowOff>76200</xdr:rowOff>
                  </from>
                  <to>
                    <xdr:col>16</xdr:col>
                    <xdr:colOff>466725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88"/>
  <sheetViews>
    <sheetView topLeftCell="A59" workbookViewId="0">
      <selection activeCell="I62" sqref="I62"/>
    </sheetView>
  </sheetViews>
  <sheetFormatPr defaultRowHeight="15" x14ac:dyDescent="0.25"/>
  <cols>
    <col min="1" max="1" width="10.7109375" bestFit="1" customWidth="1"/>
    <col min="2" max="2" width="10.140625" customWidth="1"/>
    <col min="3" max="3" width="43.7109375" bestFit="1" customWidth="1"/>
    <col min="4" max="4" width="16.42578125" style="8" customWidth="1"/>
    <col min="5" max="5" width="15.85546875" style="1" bestFit="1" customWidth="1"/>
    <col min="6" max="6" width="17.42578125" customWidth="1"/>
  </cols>
  <sheetData>
    <row r="1" spans="1:6" ht="29.25" customHeight="1" x14ac:dyDescent="0.25">
      <c r="A1" s="22" t="s">
        <v>0</v>
      </c>
      <c r="B1" s="23" t="s">
        <v>3</v>
      </c>
      <c r="C1" s="24" t="s">
        <v>4</v>
      </c>
      <c r="D1" s="24" t="s">
        <v>41</v>
      </c>
      <c r="E1" s="25" t="s">
        <v>1</v>
      </c>
      <c r="F1" s="26" t="s">
        <v>5</v>
      </c>
    </row>
    <row r="2" spans="1:6" x14ac:dyDescent="0.25">
      <c r="A2" s="18">
        <v>42009</v>
      </c>
      <c r="B2" s="6" t="s">
        <v>7</v>
      </c>
      <c r="C2" s="2" t="s">
        <v>9</v>
      </c>
      <c r="D2" s="9" t="s">
        <v>42</v>
      </c>
      <c r="E2" s="3">
        <v>34</v>
      </c>
      <c r="F2" s="20" t="s">
        <v>10</v>
      </c>
    </row>
    <row r="3" spans="1:6" x14ac:dyDescent="0.25">
      <c r="A3" s="18">
        <v>42011</v>
      </c>
      <c r="B3" s="6" t="s">
        <v>7</v>
      </c>
      <c r="C3" s="2" t="s">
        <v>13</v>
      </c>
      <c r="D3" s="9" t="s">
        <v>43</v>
      </c>
      <c r="E3" s="3">
        <v>23800</v>
      </c>
      <c r="F3" s="20" t="s">
        <v>44</v>
      </c>
    </row>
    <row r="4" spans="1:6" x14ac:dyDescent="0.25">
      <c r="A4" s="18">
        <v>42014</v>
      </c>
      <c r="B4" s="6" t="s">
        <v>8</v>
      </c>
      <c r="C4" s="2" t="s">
        <v>14</v>
      </c>
      <c r="D4" s="9" t="s">
        <v>42</v>
      </c>
      <c r="E4" s="3">
        <v>30</v>
      </c>
      <c r="F4" s="20" t="s">
        <v>11</v>
      </c>
    </row>
    <row r="5" spans="1:6" x14ac:dyDescent="0.25">
      <c r="A5" s="18">
        <v>42014</v>
      </c>
      <c r="B5" s="6" t="s">
        <v>7</v>
      </c>
      <c r="C5" s="2" t="s">
        <v>15</v>
      </c>
      <c r="D5" s="9" t="s">
        <v>42</v>
      </c>
      <c r="E5" s="3">
        <v>120</v>
      </c>
      <c r="F5" s="20" t="s">
        <v>12</v>
      </c>
    </row>
    <row r="6" spans="1:6" x14ac:dyDescent="0.25">
      <c r="A6" s="18">
        <v>42022</v>
      </c>
      <c r="B6" s="6" t="s">
        <v>7</v>
      </c>
      <c r="C6" s="2" t="s">
        <v>16</v>
      </c>
      <c r="D6" s="9" t="s">
        <v>42</v>
      </c>
      <c r="E6" s="3">
        <v>320</v>
      </c>
      <c r="F6" s="20" t="s">
        <v>12</v>
      </c>
    </row>
    <row r="7" spans="1:6" x14ac:dyDescent="0.25">
      <c r="A7" s="18">
        <v>42024</v>
      </c>
      <c r="B7" s="6" t="s">
        <v>8</v>
      </c>
      <c r="C7" s="2" t="s">
        <v>17</v>
      </c>
      <c r="D7" s="9" t="s">
        <v>42</v>
      </c>
      <c r="E7" s="3">
        <v>12000</v>
      </c>
      <c r="F7" s="20" t="s">
        <v>44</v>
      </c>
    </row>
    <row r="8" spans="1:6" x14ac:dyDescent="0.25">
      <c r="A8" s="18">
        <v>42039</v>
      </c>
      <c r="B8" s="6" t="s">
        <v>8</v>
      </c>
      <c r="C8" s="2" t="s">
        <v>18</v>
      </c>
      <c r="D8" s="9" t="s">
        <v>42</v>
      </c>
      <c r="E8" s="3">
        <v>109</v>
      </c>
      <c r="F8" s="20" t="s">
        <v>44</v>
      </c>
    </row>
    <row r="9" spans="1:6" x14ac:dyDescent="0.25">
      <c r="A9" s="18">
        <v>42012</v>
      </c>
      <c r="B9" s="6" t="s">
        <v>7</v>
      </c>
      <c r="C9" s="2" t="s">
        <v>13</v>
      </c>
      <c r="D9" s="9" t="s">
        <v>43</v>
      </c>
      <c r="E9" s="3">
        <v>23800</v>
      </c>
      <c r="F9" s="20" t="s">
        <v>10</v>
      </c>
    </row>
    <row r="10" spans="1:6" x14ac:dyDescent="0.25">
      <c r="A10" s="18">
        <v>42043</v>
      </c>
      <c r="B10" s="6" t="s">
        <v>6</v>
      </c>
      <c r="C10" s="2" t="s">
        <v>19</v>
      </c>
      <c r="D10" s="9" t="s">
        <v>43</v>
      </c>
      <c r="E10" s="3">
        <v>3200</v>
      </c>
      <c r="F10" s="20" t="s">
        <v>11</v>
      </c>
    </row>
    <row r="11" spans="1:6" x14ac:dyDescent="0.25">
      <c r="A11" s="18">
        <v>42050</v>
      </c>
      <c r="B11" s="6" t="s">
        <v>6</v>
      </c>
      <c r="C11" s="2" t="s">
        <v>20</v>
      </c>
      <c r="D11" s="9" t="s">
        <v>42</v>
      </c>
      <c r="E11" s="3">
        <v>235</v>
      </c>
      <c r="F11" s="20" t="s">
        <v>11</v>
      </c>
    </row>
    <row r="12" spans="1:6" x14ac:dyDescent="0.25">
      <c r="A12" s="18">
        <v>42056</v>
      </c>
      <c r="B12" s="6" t="s">
        <v>7</v>
      </c>
      <c r="C12" s="2" t="s">
        <v>2</v>
      </c>
      <c r="D12" s="9" t="s">
        <v>42</v>
      </c>
      <c r="E12" s="3">
        <v>134</v>
      </c>
      <c r="F12" s="20" t="s">
        <v>10</v>
      </c>
    </row>
    <row r="13" spans="1:6" x14ac:dyDescent="0.25">
      <c r="A13" s="18">
        <v>42070</v>
      </c>
      <c r="B13" s="6" t="s">
        <v>7</v>
      </c>
      <c r="C13" s="2" t="s">
        <v>13</v>
      </c>
      <c r="D13" s="9" t="s">
        <v>43</v>
      </c>
      <c r="E13" s="3">
        <v>24000</v>
      </c>
      <c r="F13" s="20" t="s">
        <v>10</v>
      </c>
    </row>
    <row r="14" spans="1:6" x14ac:dyDescent="0.25">
      <c r="A14" s="18">
        <v>42073</v>
      </c>
      <c r="B14" s="6" t="s">
        <v>7</v>
      </c>
      <c r="C14" s="2" t="s">
        <v>21</v>
      </c>
      <c r="D14" s="9" t="s">
        <v>42</v>
      </c>
      <c r="E14" s="3">
        <v>1400</v>
      </c>
      <c r="F14" s="20" t="s">
        <v>10</v>
      </c>
    </row>
    <row r="15" spans="1:6" x14ac:dyDescent="0.25">
      <c r="A15" s="18">
        <v>42078</v>
      </c>
      <c r="B15" s="6" t="s">
        <v>6</v>
      </c>
      <c r="C15" s="2" t="s">
        <v>22</v>
      </c>
      <c r="D15" s="9" t="s">
        <v>42</v>
      </c>
      <c r="E15" s="3">
        <v>300</v>
      </c>
      <c r="F15" s="20" t="s">
        <v>11</v>
      </c>
    </row>
    <row r="16" spans="1:6" x14ac:dyDescent="0.25">
      <c r="A16" s="18">
        <v>42084</v>
      </c>
      <c r="B16" s="6" t="s">
        <v>6</v>
      </c>
      <c r="C16" s="2" t="s">
        <v>19</v>
      </c>
      <c r="D16" s="9" t="s">
        <v>43</v>
      </c>
      <c r="E16" s="3">
        <v>4500</v>
      </c>
      <c r="F16" s="20" t="s">
        <v>11</v>
      </c>
    </row>
    <row r="17" spans="1:6" x14ac:dyDescent="0.25">
      <c r="A17" s="18">
        <v>42088</v>
      </c>
      <c r="B17" s="6" t="s">
        <v>7</v>
      </c>
      <c r="C17" s="2" t="s">
        <v>23</v>
      </c>
      <c r="D17" s="9" t="s">
        <v>43</v>
      </c>
      <c r="E17" s="3">
        <v>1000</v>
      </c>
      <c r="F17" s="20" t="s">
        <v>12</v>
      </c>
    </row>
    <row r="18" spans="1:6" x14ac:dyDescent="0.25">
      <c r="A18" s="18">
        <v>42088</v>
      </c>
      <c r="B18" s="6" t="s">
        <v>6</v>
      </c>
      <c r="C18" s="2" t="s">
        <v>24</v>
      </c>
      <c r="D18" s="9" t="s">
        <v>42</v>
      </c>
      <c r="E18" s="3">
        <v>1300</v>
      </c>
      <c r="F18" s="20" t="s">
        <v>12</v>
      </c>
    </row>
    <row r="19" spans="1:6" x14ac:dyDescent="0.25">
      <c r="A19" s="18">
        <v>42088</v>
      </c>
      <c r="B19" s="6" t="s">
        <v>8</v>
      </c>
      <c r="C19" s="2" t="s">
        <v>25</v>
      </c>
      <c r="D19" s="9" t="s">
        <v>42</v>
      </c>
      <c r="E19" s="3">
        <v>230</v>
      </c>
      <c r="F19" s="20" t="s">
        <v>44</v>
      </c>
    </row>
    <row r="20" spans="1:6" x14ac:dyDescent="0.25">
      <c r="A20" s="18">
        <v>42095</v>
      </c>
      <c r="B20" s="6" t="s">
        <v>6</v>
      </c>
      <c r="C20" s="2" t="s">
        <v>26</v>
      </c>
      <c r="D20" s="9" t="s">
        <v>42</v>
      </c>
      <c r="E20" s="3">
        <v>260</v>
      </c>
      <c r="F20" s="20" t="s">
        <v>11</v>
      </c>
    </row>
    <row r="21" spans="1:6" ht="15.75" customHeight="1" x14ac:dyDescent="0.25">
      <c r="A21" s="18">
        <v>42099</v>
      </c>
      <c r="B21" s="6" t="s">
        <v>7</v>
      </c>
      <c r="C21" s="2" t="s">
        <v>27</v>
      </c>
      <c r="D21" s="9" t="s">
        <v>42</v>
      </c>
      <c r="E21" s="3">
        <v>1000</v>
      </c>
      <c r="F21" s="20" t="s">
        <v>12</v>
      </c>
    </row>
    <row r="22" spans="1:6" x14ac:dyDescent="0.25">
      <c r="A22" s="18">
        <v>42099</v>
      </c>
      <c r="B22" s="6" t="s">
        <v>7</v>
      </c>
      <c r="C22" s="2" t="s">
        <v>16</v>
      </c>
      <c r="D22" s="9" t="s">
        <v>42</v>
      </c>
      <c r="E22" s="3">
        <v>320</v>
      </c>
      <c r="F22" s="20" t="s">
        <v>10</v>
      </c>
    </row>
    <row r="23" spans="1:6" x14ac:dyDescent="0.25">
      <c r="A23" s="18">
        <v>42100</v>
      </c>
      <c r="B23" s="6" t="s">
        <v>6</v>
      </c>
      <c r="C23" s="2" t="s">
        <v>28</v>
      </c>
      <c r="D23" s="9" t="s">
        <v>42</v>
      </c>
      <c r="E23" s="3">
        <v>1000</v>
      </c>
      <c r="F23" s="20" t="s">
        <v>11</v>
      </c>
    </row>
    <row r="24" spans="1:6" x14ac:dyDescent="0.25">
      <c r="A24" s="18">
        <v>42102</v>
      </c>
      <c r="B24" s="6" t="s">
        <v>7</v>
      </c>
      <c r="C24" s="2" t="s">
        <v>13</v>
      </c>
      <c r="D24" s="9" t="s">
        <v>43</v>
      </c>
      <c r="E24" s="3">
        <v>24500</v>
      </c>
      <c r="F24" s="20" t="s">
        <v>12</v>
      </c>
    </row>
    <row r="25" spans="1:6" x14ac:dyDescent="0.25">
      <c r="A25" s="18">
        <v>42105</v>
      </c>
      <c r="B25" s="6" t="s">
        <v>7</v>
      </c>
      <c r="C25" s="2" t="s">
        <v>9</v>
      </c>
      <c r="D25" s="9" t="s">
        <v>42</v>
      </c>
      <c r="E25" s="3">
        <v>34.78</v>
      </c>
      <c r="F25" s="20" t="s">
        <v>10</v>
      </c>
    </row>
    <row r="26" spans="1:6" x14ac:dyDescent="0.25">
      <c r="A26" s="18">
        <v>42127</v>
      </c>
      <c r="B26" s="6" t="s">
        <v>6</v>
      </c>
      <c r="C26" s="2" t="s">
        <v>22</v>
      </c>
      <c r="D26" s="9" t="s">
        <v>42</v>
      </c>
      <c r="E26" s="3">
        <v>290</v>
      </c>
      <c r="F26" s="20" t="s">
        <v>11</v>
      </c>
    </row>
    <row r="27" spans="1:6" x14ac:dyDescent="0.25">
      <c r="A27" s="18">
        <v>42129</v>
      </c>
      <c r="B27" s="6" t="s">
        <v>8</v>
      </c>
      <c r="C27" s="2" t="s">
        <v>29</v>
      </c>
      <c r="D27" s="9" t="s">
        <v>42</v>
      </c>
      <c r="E27" s="3">
        <v>1200</v>
      </c>
      <c r="F27" s="20" t="s">
        <v>44</v>
      </c>
    </row>
    <row r="28" spans="1:6" x14ac:dyDescent="0.25">
      <c r="A28" s="18">
        <v>42129</v>
      </c>
      <c r="B28" s="6" t="s">
        <v>6</v>
      </c>
      <c r="C28" s="2" t="s">
        <v>19</v>
      </c>
      <c r="D28" s="9" t="s">
        <v>43</v>
      </c>
      <c r="E28" s="3">
        <v>2560</v>
      </c>
      <c r="F28" s="20" t="s">
        <v>11</v>
      </c>
    </row>
    <row r="29" spans="1:6" x14ac:dyDescent="0.25">
      <c r="A29" s="18">
        <v>42134</v>
      </c>
      <c r="B29" s="6" t="s">
        <v>7</v>
      </c>
      <c r="C29" s="2" t="s">
        <v>13</v>
      </c>
      <c r="D29" s="9" t="s">
        <v>43</v>
      </c>
      <c r="E29" s="3">
        <v>23000</v>
      </c>
      <c r="F29" s="20" t="s">
        <v>12</v>
      </c>
    </row>
    <row r="30" spans="1:6" x14ac:dyDescent="0.25">
      <c r="A30" s="18">
        <v>42134</v>
      </c>
      <c r="B30" s="6" t="s">
        <v>7</v>
      </c>
      <c r="C30" s="2" t="s">
        <v>15</v>
      </c>
      <c r="D30" s="9" t="s">
        <v>42</v>
      </c>
      <c r="E30" s="3">
        <v>120</v>
      </c>
      <c r="F30" s="20" t="s">
        <v>10</v>
      </c>
    </row>
    <row r="31" spans="1:6" x14ac:dyDescent="0.25">
      <c r="A31" s="18">
        <v>42142</v>
      </c>
      <c r="B31" s="6" t="s">
        <v>8</v>
      </c>
      <c r="C31" s="2" t="s">
        <v>30</v>
      </c>
      <c r="D31" s="9" t="s">
        <v>42</v>
      </c>
      <c r="E31" s="3">
        <v>320</v>
      </c>
      <c r="F31" s="20" t="s">
        <v>44</v>
      </c>
    </row>
    <row r="32" spans="1:6" x14ac:dyDescent="0.25">
      <c r="A32" s="18">
        <v>42144</v>
      </c>
      <c r="B32" s="6" t="s">
        <v>6</v>
      </c>
      <c r="C32" s="2" t="s">
        <v>23</v>
      </c>
      <c r="D32" s="9" t="s">
        <v>43</v>
      </c>
      <c r="E32" s="3">
        <v>1000</v>
      </c>
      <c r="F32" s="20" t="s">
        <v>11</v>
      </c>
    </row>
    <row r="33" spans="1:6" x14ac:dyDescent="0.25">
      <c r="A33" s="18">
        <v>42144</v>
      </c>
      <c r="B33" s="6" t="s">
        <v>7</v>
      </c>
      <c r="C33" s="2" t="s">
        <v>2</v>
      </c>
      <c r="D33" s="9" t="s">
        <v>42</v>
      </c>
      <c r="E33" s="3">
        <v>210</v>
      </c>
      <c r="F33" s="20" t="s">
        <v>12</v>
      </c>
    </row>
    <row r="34" spans="1:6" x14ac:dyDescent="0.25">
      <c r="A34" s="18">
        <v>42144</v>
      </c>
      <c r="B34" s="6" t="s">
        <v>6</v>
      </c>
      <c r="C34" s="2" t="s">
        <v>31</v>
      </c>
      <c r="D34" s="9" t="s">
        <v>42</v>
      </c>
      <c r="E34" s="3">
        <v>540</v>
      </c>
      <c r="F34" s="20" t="s">
        <v>10</v>
      </c>
    </row>
    <row r="35" spans="1:6" x14ac:dyDescent="0.25">
      <c r="A35" s="18">
        <v>42154</v>
      </c>
      <c r="B35" s="6" t="s">
        <v>6</v>
      </c>
      <c r="C35" s="2" t="s">
        <v>32</v>
      </c>
      <c r="D35" s="9" t="s">
        <v>42</v>
      </c>
      <c r="E35" s="3">
        <v>1000</v>
      </c>
      <c r="F35" s="20" t="s">
        <v>11</v>
      </c>
    </row>
    <row r="36" spans="1:6" x14ac:dyDescent="0.25">
      <c r="A36" s="18">
        <v>42154</v>
      </c>
      <c r="B36" s="6" t="s">
        <v>6</v>
      </c>
      <c r="C36" s="2" t="s">
        <v>33</v>
      </c>
      <c r="D36" s="9" t="s">
        <v>42</v>
      </c>
      <c r="E36" s="3">
        <v>200</v>
      </c>
      <c r="F36" s="20" t="s">
        <v>12</v>
      </c>
    </row>
    <row r="37" spans="1:6" x14ac:dyDescent="0.25">
      <c r="A37" s="18">
        <v>42165</v>
      </c>
      <c r="B37" s="6" t="s">
        <v>7</v>
      </c>
      <c r="C37" s="2" t="s">
        <v>13</v>
      </c>
      <c r="D37" s="9" t="s">
        <v>43</v>
      </c>
      <c r="E37" s="3">
        <v>24000</v>
      </c>
      <c r="F37" s="20" t="s">
        <v>10</v>
      </c>
    </row>
    <row r="38" spans="1:6" x14ac:dyDescent="0.25">
      <c r="A38" s="18">
        <v>42165</v>
      </c>
      <c r="B38" s="6" t="s">
        <v>6</v>
      </c>
      <c r="C38" s="2" t="s">
        <v>20</v>
      </c>
      <c r="D38" s="9" t="s">
        <v>42</v>
      </c>
      <c r="E38" s="3">
        <v>258</v>
      </c>
      <c r="F38" s="20" t="s">
        <v>11</v>
      </c>
    </row>
    <row r="39" spans="1:6" x14ac:dyDescent="0.25">
      <c r="A39" s="18">
        <v>42278</v>
      </c>
      <c r="B39" s="6" t="s">
        <v>8</v>
      </c>
      <c r="C39" s="2" t="s">
        <v>34</v>
      </c>
      <c r="D39" s="9" t="s">
        <v>42</v>
      </c>
      <c r="E39" s="3">
        <v>290</v>
      </c>
      <c r="F39" s="20" t="s">
        <v>44</v>
      </c>
    </row>
    <row r="40" spans="1:6" x14ac:dyDescent="0.25">
      <c r="A40" s="18">
        <v>42278</v>
      </c>
      <c r="B40" s="6" t="s">
        <v>8</v>
      </c>
      <c r="C40" s="2" t="s">
        <v>35</v>
      </c>
      <c r="D40" s="9" t="s">
        <v>42</v>
      </c>
      <c r="E40" s="3">
        <v>198</v>
      </c>
      <c r="F40" s="20" t="s">
        <v>44</v>
      </c>
    </row>
    <row r="41" spans="1:6" x14ac:dyDescent="0.25">
      <c r="A41" s="18">
        <v>42281</v>
      </c>
      <c r="B41" s="6" t="s">
        <v>8</v>
      </c>
      <c r="C41" s="2" t="s">
        <v>36</v>
      </c>
      <c r="D41" s="9" t="s">
        <v>42</v>
      </c>
      <c r="E41" s="3">
        <v>300</v>
      </c>
      <c r="F41" s="20" t="s">
        <v>44</v>
      </c>
    </row>
    <row r="42" spans="1:6" x14ac:dyDescent="0.25">
      <c r="A42" s="18">
        <v>42281</v>
      </c>
      <c r="B42" s="6" t="s">
        <v>6</v>
      </c>
      <c r="C42" s="2" t="s">
        <v>37</v>
      </c>
      <c r="D42" s="9" t="s">
        <v>42</v>
      </c>
      <c r="E42" s="3">
        <v>280</v>
      </c>
      <c r="F42" s="20" t="s">
        <v>11</v>
      </c>
    </row>
    <row r="43" spans="1:6" x14ac:dyDescent="0.25">
      <c r="A43" s="18">
        <v>42282</v>
      </c>
      <c r="B43" s="6" t="s">
        <v>7</v>
      </c>
      <c r="C43" s="2" t="s">
        <v>16</v>
      </c>
      <c r="D43" s="9" t="s">
        <v>42</v>
      </c>
      <c r="E43" s="3">
        <v>320</v>
      </c>
      <c r="F43" s="20" t="s">
        <v>12</v>
      </c>
    </row>
    <row r="44" spans="1:6" x14ac:dyDescent="0.25">
      <c r="A44" s="18">
        <v>42283</v>
      </c>
      <c r="B44" s="6" t="s">
        <v>7</v>
      </c>
      <c r="C44" s="2" t="s">
        <v>13</v>
      </c>
      <c r="D44" s="9" t="s">
        <v>43</v>
      </c>
      <c r="E44" s="3">
        <v>23900</v>
      </c>
      <c r="F44" s="20" t="s">
        <v>10</v>
      </c>
    </row>
    <row r="45" spans="1:6" x14ac:dyDescent="0.25">
      <c r="A45" s="18">
        <v>42292</v>
      </c>
      <c r="B45" s="6" t="s">
        <v>6</v>
      </c>
      <c r="C45" s="2" t="s">
        <v>38</v>
      </c>
      <c r="D45" s="9" t="s">
        <v>42</v>
      </c>
      <c r="E45" s="3">
        <v>200</v>
      </c>
      <c r="F45" s="20" t="s">
        <v>11</v>
      </c>
    </row>
    <row r="46" spans="1:6" x14ac:dyDescent="0.25">
      <c r="A46" s="18">
        <v>42297</v>
      </c>
      <c r="B46" s="6" t="s">
        <v>7</v>
      </c>
      <c r="C46" s="2" t="s">
        <v>27</v>
      </c>
      <c r="D46" s="9" t="s">
        <v>42</v>
      </c>
      <c r="E46" s="3">
        <v>1200</v>
      </c>
      <c r="F46" s="20" t="s">
        <v>12</v>
      </c>
    </row>
    <row r="47" spans="1:6" x14ac:dyDescent="0.25">
      <c r="A47" s="18">
        <v>42302</v>
      </c>
      <c r="B47" s="6" t="s">
        <v>7</v>
      </c>
      <c r="C47" s="2" t="s">
        <v>15</v>
      </c>
      <c r="D47" s="9" t="s">
        <v>42</v>
      </c>
      <c r="E47" s="3">
        <v>230</v>
      </c>
      <c r="F47" s="20" t="s">
        <v>10</v>
      </c>
    </row>
    <row r="48" spans="1:6" x14ac:dyDescent="0.25">
      <c r="A48" s="18">
        <v>42306</v>
      </c>
      <c r="B48" s="6" t="s">
        <v>6</v>
      </c>
      <c r="C48" s="2" t="s">
        <v>19</v>
      </c>
      <c r="D48" s="9" t="s">
        <v>43</v>
      </c>
      <c r="E48" s="3">
        <v>1500</v>
      </c>
      <c r="F48" s="20" t="s">
        <v>11</v>
      </c>
    </row>
    <row r="49" spans="1:6" x14ac:dyDescent="0.25">
      <c r="A49" s="18">
        <v>42312</v>
      </c>
      <c r="B49" s="6" t="s">
        <v>8</v>
      </c>
      <c r="C49" s="2" t="s">
        <v>39</v>
      </c>
      <c r="D49" s="9" t="s">
        <v>42</v>
      </c>
      <c r="E49" s="3">
        <v>10000</v>
      </c>
      <c r="F49" s="20" t="s">
        <v>44</v>
      </c>
    </row>
    <row r="50" spans="1:6" x14ac:dyDescent="0.25">
      <c r="A50" s="18">
        <v>42317</v>
      </c>
      <c r="B50" s="6" t="s">
        <v>6</v>
      </c>
      <c r="C50" s="2" t="s">
        <v>40</v>
      </c>
      <c r="D50" s="9" t="s">
        <v>42</v>
      </c>
      <c r="E50" s="3">
        <v>2300</v>
      </c>
      <c r="F50" s="20" t="s">
        <v>11</v>
      </c>
    </row>
    <row r="51" spans="1:6" x14ac:dyDescent="0.25">
      <c r="A51" s="18">
        <v>42325</v>
      </c>
      <c r="B51" s="6" t="s">
        <v>7</v>
      </c>
      <c r="C51" s="2" t="s">
        <v>2</v>
      </c>
      <c r="D51" s="9" t="s">
        <v>42</v>
      </c>
      <c r="E51" s="3">
        <v>135</v>
      </c>
      <c r="F51" s="20" t="s">
        <v>12</v>
      </c>
    </row>
    <row r="52" spans="1:6" x14ac:dyDescent="0.25">
      <c r="A52" s="18">
        <v>42339</v>
      </c>
      <c r="B52" s="6" t="s">
        <v>7</v>
      </c>
      <c r="C52" s="2" t="s">
        <v>21</v>
      </c>
      <c r="D52" s="9" t="s">
        <v>42</v>
      </c>
      <c r="E52" s="3">
        <v>1230</v>
      </c>
      <c r="F52" s="20" t="s">
        <v>10</v>
      </c>
    </row>
    <row r="53" spans="1:6" x14ac:dyDescent="0.25">
      <c r="A53" s="18">
        <v>42341</v>
      </c>
      <c r="B53" s="6" t="s">
        <v>6</v>
      </c>
      <c r="C53" s="2" t="s">
        <v>20</v>
      </c>
      <c r="D53" s="9" t="s">
        <v>42</v>
      </c>
      <c r="E53" s="3">
        <v>450</v>
      </c>
      <c r="F53" s="20" t="s">
        <v>11</v>
      </c>
    </row>
    <row r="54" spans="1:6" x14ac:dyDescent="0.25">
      <c r="A54" s="18">
        <v>42348</v>
      </c>
      <c r="B54" s="6" t="s">
        <v>7</v>
      </c>
      <c r="C54" s="2" t="s">
        <v>13</v>
      </c>
      <c r="D54" s="9" t="s">
        <v>43</v>
      </c>
      <c r="E54" s="3">
        <v>24000</v>
      </c>
      <c r="F54" s="20" t="s">
        <v>12</v>
      </c>
    </row>
    <row r="55" spans="1:6" x14ac:dyDescent="0.25">
      <c r="A55" s="18">
        <v>42358</v>
      </c>
      <c r="B55" s="6" t="s">
        <v>6</v>
      </c>
      <c r="C55" s="2" t="s">
        <v>19</v>
      </c>
      <c r="D55" s="9" t="s">
        <v>43</v>
      </c>
      <c r="E55" s="3">
        <v>1780</v>
      </c>
      <c r="F55" s="20" t="s">
        <v>11</v>
      </c>
    </row>
    <row r="56" spans="1:6" ht="15.75" thickBot="1" x14ac:dyDescent="0.3">
      <c r="A56" s="19">
        <v>42361</v>
      </c>
      <c r="B56" s="7" t="s">
        <v>6</v>
      </c>
      <c r="C56" s="4" t="s">
        <v>24</v>
      </c>
      <c r="D56" s="17" t="s">
        <v>42</v>
      </c>
      <c r="E56" s="5">
        <v>1300</v>
      </c>
      <c r="F56" s="21" t="s">
        <v>11</v>
      </c>
    </row>
    <row r="57" spans="1:6" x14ac:dyDescent="0.25">
      <c r="A57" s="18">
        <v>42358</v>
      </c>
      <c r="B57" s="6" t="s">
        <v>6</v>
      </c>
      <c r="C57" s="2" t="s">
        <v>19</v>
      </c>
      <c r="D57" s="9" t="s">
        <v>43</v>
      </c>
      <c r="E57" s="3">
        <v>1780</v>
      </c>
      <c r="F57" s="20" t="s">
        <v>11</v>
      </c>
    </row>
    <row r="58" spans="1:6" ht="15.75" thickBot="1" x14ac:dyDescent="0.3">
      <c r="A58" s="19">
        <v>42361</v>
      </c>
      <c r="B58" s="7" t="s">
        <v>6</v>
      </c>
      <c r="C58" s="4" t="s">
        <v>24</v>
      </c>
      <c r="D58" s="17" t="s">
        <v>42</v>
      </c>
      <c r="E58" s="5">
        <v>1300</v>
      </c>
      <c r="F58" s="21" t="s">
        <v>11</v>
      </c>
    </row>
    <row r="59" spans="1:6" x14ac:dyDescent="0.25">
      <c r="A59" s="18">
        <v>42358</v>
      </c>
      <c r="B59" s="6" t="s">
        <v>6</v>
      </c>
      <c r="C59" s="2" t="s">
        <v>19</v>
      </c>
      <c r="D59" s="9" t="s">
        <v>43</v>
      </c>
      <c r="E59" s="3">
        <v>1780</v>
      </c>
      <c r="F59" s="20" t="s">
        <v>11</v>
      </c>
    </row>
    <row r="60" spans="1:6" x14ac:dyDescent="0.25">
      <c r="A60" s="27">
        <v>42361</v>
      </c>
      <c r="B60" s="28" t="s">
        <v>6</v>
      </c>
      <c r="C60" s="29" t="s">
        <v>24</v>
      </c>
      <c r="D60" s="30" t="s">
        <v>42</v>
      </c>
      <c r="E60" s="31">
        <v>1300</v>
      </c>
      <c r="F60" s="32" t="s">
        <v>11</v>
      </c>
    </row>
    <row r="61" spans="1:6" x14ac:dyDescent="0.25">
      <c r="A61" s="18">
        <v>42348</v>
      </c>
      <c r="B61" s="6" t="s">
        <v>7</v>
      </c>
      <c r="C61" s="2" t="s">
        <v>13</v>
      </c>
      <c r="D61" s="9" t="s">
        <v>43</v>
      </c>
      <c r="E61" s="3">
        <v>24000</v>
      </c>
      <c r="F61" s="20" t="s">
        <v>12</v>
      </c>
    </row>
    <row r="62" spans="1:6" x14ac:dyDescent="0.25">
      <c r="A62" s="18">
        <v>42358</v>
      </c>
      <c r="B62" s="6" t="s">
        <v>6</v>
      </c>
      <c r="C62" s="2" t="s">
        <v>19</v>
      </c>
      <c r="D62" s="9" t="s">
        <v>43</v>
      </c>
      <c r="E62" s="3">
        <v>1780</v>
      </c>
      <c r="F62" s="20" t="s">
        <v>11</v>
      </c>
    </row>
    <row r="63" spans="1:6" x14ac:dyDescent="0.25">
      <c r="A63" s="18">
        <v>42361</v>
      </c>
      <c r="B63" s="6" t="s">
        <v>6</v>
      </c>
      <c r="C63" s="2" t="s">
        <v>24</v>
      </c>
      <c r="D63" s="9" t="s">
        <v>42</v>
      </c>
      <c r="E63" s="3">
        <v>1300</v>
      </c>
      <c r="F63" s="20" t="s">
        <v>11</v>
      </c>
    </row>
    <row r="64" spans="1:6" x14ac:dyDescent="0.25">
      <c r="A64" s="18">
        <v>42358</v>
      </c>
      <c r="B64" s="6" t="s">
        <v>6</v>
      </c>
      <c r="C64" s="2" t="s">
        <v>19</v>
      </c>
      <c r="D64" s="9" t="s">
        <v>43</v>
      </c>
      <c r="E64" s="3">
        <v>1780</v>
      </c>
      <c r="F64" s="20" t="s">
        <v>11</v>
      </c>
    </row>
    <row r="65" spans="1:6" x14ac:dyDescent="0.25">
      <c r="A65" s="18">
        <v>42361</v>
      </c>
      <c r="B65" s="6" t="s">
        <v>6</v>
      </c>
      <c r="C65" s="2" t="s">
        <v>24</v>
      </c>
      <c r="D65" s="9" t="s">
        <v>42</v>
      </c>
      <c r="E65" s="3">
        <v>1300</v>
      </c>
      <c r="F65" s="20" t="s">
        <v>11</v>
      </c>
    </row>
    <row r="66" spans="1:6" x14ac:dyDescent="0.25">
      <c r="A66" s="18">
        <v>42358</v>
      </c>
      <c r="B66" s="6" t="s">
        <v>6</v>
      </c>
      <c r="C66" s="2" t="s">
        <v>19</v>
      </c>
      <c r="D66" s="9" t="s">
        <v>43</v>
      </c>
      <c r="E66" s="3">
        <v>1780</v>
      </c>
      <c r="F66" s="20" t="s">
        <v>11</v>
      </c>
    </row>
    <row r="67" spans="1:6" x14ac:dyDescent="0.25">
      <c r="A67" s="27">
        <v>42361</v>
      </c>
      <c r="B67" s="28" t="s">
        <v>6</v>
      </c>
      <c r="C67" s="29" t="s">
        <v>24</v>
      </c>
      <c r="D67" s="30" t="s">
        <v>42</v>
      </c>
      <c r="E67" s="31">
        <v>1300</v>
      </c>
      <c r="F67" s="32" t="s">
        <v>11</v>
      </c>
    </row>
    <row r="68" spans="1:6" x14ac:dyDescent="0.25">
      <c r="A68" s="18">
        <v>42302</v>
      </c>
      <c r="B68" s="6" t="s">
        <v>7</v>
      </c>
      <c r="C68" s="2" t="s">
        <v>15</v>
      </c>
      <c r="D68" s="9" t="s">
        <v>42</v>
      </c>
      <c r="E68" s="3">
        <v>230</v>
      </c>
      <c r="F68" s="20" t="s">
        <v>10</v>
      </c>
    </row>
    <row r="69" spans="1:6" x14ac:dyDescent="0.25">
      <c r="A69" s="18">
        <v>42306</v>
      </c>
      <c r="B69" s="6" t="s">
        <v>6</v>
      </c>
      <c r="C69" s="2" t="s">
        <v>19</v>
      </c>
      <c r="D69" s="9" t="s">
        <v>43</v>
      </c>
      <c r="E69" s="3">
        <v>1500</v>
      </c>
      <c r="F69" s="20" t="s">
        <v>11</v>
      </c>
    </row>
    <row r="70" spans="1:6" x14ac:dyDescent="0.25">
      <c r="A70" s="18">
        <v>42312</v>
      </c>
      <c r="B70" s="6" t="s">
        <v>8</v>
      </c>
      <c r="C70" s="2" t="s">
        <v>39</v>
      </c>
      <c r="D70" s="9" t="s">
        <v>42</v>
      </c>
      <c r="E70" s="3">
        <v>10000</v>
      </c>
      <c r="F70" s="20" t="s">
        <v>44</v>
      </c>
    </row>
    <row r="71" spans="1:6" x14ac:dyDescent="0.25">
      <c r="A71" s="18">
        <v>42317</v>
      </c>
      <c r="B71" s="6" t="s">
        <v>6</v>
      </c>
      <c r="C71" s="2" t="s">
        <v>40</v>
      </c>
      <c r="D71" s="9" t="s">
        <v>42</v>
      </c>
      <c r="E71" s="3">
        <v>2300</v>
      </c>
      <c r="F71" s="20" t="s">
        <v>11</v>
      </c>
    </row>
    <row r="72" spans="1:6" x14ac:dyDescent="0.25">
      <c r="A72" s="18">
        <v>42325</v>
      </c>
      <c r="B72" s="6" t="s">
        <v>7</v>
      </c>
      <c r="C72" s="2" t="s">
        <v>2</v>
      </c>
      <c r="D72" s="9" t="s">
        <v>42</v>
      </c>
      <c r="E72" s="3">
        <v>135</v>
      </c>
      <c r="F72" s="20" t="s">
        <v>12</v>
      </c>
    </row>
    <row r="73" spans="1:6" x14ac:dyDescent="0.25">
      <c r="A73" s="18">
        <v>42339</v>
      </c>
      <c r="B73" s="6" t="s">
        <v>7</v>
      </c>
      <c r="C73" s="2" t="s">
        <v>21</v>
      </c>
      <c r="D73" s="9" t="s">
        <v>42</v>
      </c>
      <c r="E73" s="3">
        <v>1230</v>
      </c>
      <c r="F73" s="20" t="s">
        <v>10</v>
      </c>
    </row>
    <row r="74" spans="1:6" x14ac:dyDescent="0.25">
      <c r="A74" s="18">
        <v>42341</v>
      </c>
      <c r="B74" s="6" t="s">
        <v>6</v>
      </c>
      <c r="C74" s="2" t="s">
        <v>20</v>
      </c>
      <c r="D74" s="9" t="s">
        <v>42</v>
      </c>
      <c r="E74" s="3">
        <v>450</v>
      </c>
      <c r="F74" s="20" t="s">
        <v>11</v>
      </c>
    </row>
    <row r="75" spans="1:6" x14ac:dyDescent="0.25">
      <c r="A75" s="18">
        <v>42348</v>
      </c>
      <c r="B75" s="6" t="s">
        <v>7</v>
      </c>
      <c r="C75" s="2" t="s">
        <v>13</v>
      </c>
      <c r="D75" s="9" t="s">
        <v>43</v>
      </c>
      <c r="E75" s="3">
        <v>24000</v>
      </c>
      <c r="F75" s="20" t="s">
        <v>12</v>
      </c>
    </row>
    <row r="76" spans="1:6" x14ac:dyDescent="0.25">
      <c r="A76" s="18">
        <v>42358</v>
      </c>
      <c r="B76" s="6" t="s">
        <v>6</v>
      </c>
      <c r="C76" s="2" t="s">
        <v>19</v>
      </c>
      <c r="D76" s="9" t="s">
        <v>43</v>
      </c>
      <c r="E76" s="3">
        <v>1780</v>
      </c>
      <c r="F76" s="20" t="s">
        <v>11</v>
      </c>
    </row>
    <row r="77" spans="1:6" x14ac:dyDescent="0.25">
      <c r="A77" s="18">
        <v>42361</v>
      </c>
      <c r="B77" s="6" t="s">
        <v>6</v>
      </c>
      <c r="C77" s="2" t="s">
        <v>24</v>
      </c>
      <c r="D77" s="9" t="s">
        <v>42</v>
      </c>
      <c r="E77" s="3">
        <v>1300</v>
      </c>
      <c r="F77" s="20" t="s">
        <v>11</v>
      </c>
    </row>
    <row r="78" spans="1:6" x14ac:dyDescent="0.25">
      <c r="A78" s="18">
        <v>42358</v>
      </c>
      <c r="B78" s="6" t="s">
        <v>6</v>
      </c>
      <c r="C78" s="2" t="s">
        <v>19</v>
      </c>
      <c r="D78" s="9" t="s">
        <v>43</v>
      </c>
      <c r="E78" s="3">
        <v>1780</v>
      </c>
      <c r="F78" s="20" t="s">
        <v>11</v>
      </c>
    </row>
    <row r="79" spans="1:6" x14ac:dyDescent="0.25">
      <c r="A79" s="18">
        <v>42361</v>
      </c>
      <c r="B79" s="6" t="s">
        <v>6</v>
      </c>
      <c r="C79" s="2" t="s">
        <v>24</v>
      </c>
      <c r="D79" s="9" t="s">
        <v>42</v>
      </c>
      <c r="E79" s="3">
        <v>1300</v>
      </c>
      <c r="F79" s="20" t="s">
        <v>11</v>
      </c>
    </row>
    <row r="80" spans="1:6" x14ac:dyDescent="0.25">
      <c r="A80" s="18">
        <v>42358</v>
      </c>
      <c r="B80" s="6" t="s">
        <v>6</v>
      </c>
      <c r="C80" s="2" t="s">
        <v>19</v>
      </c>
      <c r="D80" s="9" t="s">
        <v>43</v>
      </c>
      <c r="E80" s="3">
        <v>1780</v>
      </c>
      <c r="F80" s="20" t="s">
        <v>11</v>
      </c>
    </row>
    <row r="81" spans="1:6" x14ac:dyDescent="0.25">
      <c r="A81" s="18">
        <v>42361</v>
      </c>
      <c r="B81" s="6" t="s">
        <v>6</v>
      </c>
      <c r="C81" s="2" t="s">
        <v>24</v>
      </c>
      <c r="D81" s="9" t="s">
        <v>42</v>
      </c>
      <c r="E81" s="3">
        <v>1300</v>
      </c>
      <c r="F81" s="20" t="s">
        <v>11</v>
      </c>
    </row>
    <row r="82" spans="1:6" x14ac:dyDescent="0.25">
      <c r="A82" s="18">
        <v>42348</v>
      </c>
      <c r="B82" s="6" t="s">
        <v>7</v>
      </c>
      <c r="C82" s="2" t="s">
        <v>13</v>
      </c>
      <c r="D82" s="9" t="s">
        <v>43</v>
      </c>
      <c r="E82" s="3">
        <v>24000</v>
      </c>
      <c r="F82" s="20" t="s">
        <v>12</v>
      </c>
    </row>
    <row r="83" spans="1:6" x14ac:dyDescent="0.25">
      <c r="A83" s="18">
        <v>42358</v>
      </c>
      <c r="B83" s="6" t="s">
        <v>6</v>
      </c>
      <c r="C83" s="2" t="s">
        <v>19</v>
      </c>
      <c r="D83" s="9" t="s">
        <v>43</v>
      </c>
      <c r="E83" s="3">
        <v>1780</v>
      </c>
      <c r="F83" s="20" t="s">
        <v>11</v>
      </c>
    </row>
    <row r="84" spans="1:6" x14ac:dyDescent="0.25">
      <c r="A84" s="18">
        <v>42361</v>
      </c>
      <c r="B84" s="6" t="s">
        <v>6</v>
      </c>
      <c r="C84" s="2" t="s">
        <v>24</v>
      </c>
      <c r="D84" s="9" t="s">
        <v>42</v>
      </c>
      <c r="E84" s="3">
        <v>1300</v>
      </c>
      <c r="F84" s="20" t="s">
        <v>11</v>
      </c>
    </row>
    <row r="85" spans="1:6" x14ac:dyDescent="0.25">
      <c r="A85" s="18">
        <v>42358</v>
      </c>
      <c r="B85" s="6" t="s">
        <v>6</v>
      </c>
      <c r="C85" s="2" t="s">
        <v>19</v>
      </c>
      <c r="D85" s="9" t="s">
        <v>43</v>
      </c>
      <c r="E85" s="3">
        <v>1780</v>
      </c>
      <c r="F85" s="20" t="s">
        <v>11</v>
      </c>
    </row>
    <row r="86" spans="1:6" x14ac:dyDescent="0.25">
      <c r="A86" s="18">
        <v>42361</v>
      </c>
      <c r="B86" s="6" t="s">
        <v>6</v>
      </c>
      <c r="C86" s="2" t="s">
        <v>24</v>
      </c>
      <c r="D86" s="9" t="s">
        <v>42</v>
      </c>
      <c r="E86" s="3">
        <v>1300</v>
      </c>
      <c r="F86" s="20" t="s">
        <v>11</v>
      </c>
    </row>
    <row r="87" spans="1:6" x14ac:dyDescent="0.25">
      <c r="A87" s="18">
        <v>42358</v>
      </c>
      <c r="B87" s="6" t="s">
        <v>6</v>
      </c>
      <c r="C87" s="2" t="s">
        <v>19</v>
      </c>
      <c r="D87" s="9" t="s">
        <v>43</v>
      </c>
      <c r="E87" s="3">
        <v>1780</v>
      </c>
      <c r="F87" s="20" t="s">
        <v>11</v>
      </c>
    </row>
    <row r="88" spans="1:6" x14ac:dyDescent="0.25">
      <c r="A88" s="27">
        <v>42361</v>
      </c>
      <c r="B88" s="28" t="s">
        <v>6</v>
      </c>
      <c r="C88" s="29" t="s">
        <v>24</v>
      </c>
      <c r="D88" s="30" t="s">
        <v>42</v>
      </c>
      <c r="E88" s="31">
        <v>1300</v>
      </c>
      <c r="F88" s="32" t="s">
        <v>11</v>
      </c>
    </row>
  </sheetData>
  <sortState xmlns:xlrd2="http://schemas.microsoft.com/office/spreadsheetml/2017/richdata2" ref="A2:G54">
    <sortCondition ref="A2"/>
  </sortState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Dashboard</vt:lpstr>
      <vt:lpstr>CONTAS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Mendonça</dc:creator>
  <cp:lastModifiedBy>GUSTAVO SILVA DE OLIVEIRA</cp:lastModifiedBy>
  <cp:lastPrinted>2022-05-06T23:16:51Z</cp:lastPrinted>
  <dcterms:created xsi:type="dcterms:W3CDTF">2010-07-12T13:29:36Z</dcterms:created>
  <dcterms:modified xsi:type="dcterms:W3CDTF">2022-05-07T00:05:42Z</dcterms:modified>
</cp:coreProperties>
</file>